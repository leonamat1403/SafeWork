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Z:\Documentos\SafeWork\docs\academico\"/>
    </mc:Choice>
  </mc:AlternateContent>
  <xr:revisionPtr revIDLastSave="0" documentId="13_ncr:1_{72C70D56-383D-401D-9552-9395C25C5B13}" xr6:coauthVersionLast="47" xr6:coauthVersionMax="47" xr10:uidLastSave="{00000000-0000-0000-0000-000000000000}"/>
  <bookViews>
    <workbookView xWindow="-120" yWindow="-120" windowWidth="29040" windowHeight="15720" xr2:uid="{00000000-000D-0000-FFFF-FFFF00000000}"/>
  </bookViews>
  <sheets>
    <sheet name="Como preencher" sheetId="1" r:id="rId1"/>
    <sheet name="Semanas" sheetId="2" r:id="rId2"/>
    <sheet name="Antes x Depois" sheetId="3" r:id="rId3"/>
    <sheet name="Modelo (Fase 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3" l="1"/>
  <c r="B14" i="3"/>
  <c r="C13" i="3"/>
  <c r="B13" i="3"/>
  <c r="C12" i="3"/>
  <c r="B12" i="3"/>
  <c r="C11" i="3"/>
  <c r="B11" i="3"/>
  <c r="C10" i="3"/>
  <c r="B10" i="3"/>
  <c r="C9" i="3"/>
  <c r="B9" i="3"/>
  <c r="C8" i="3"/>
  <c r="B8" i="3"/>
  <c r="C7" i="3"/>
  <c r="B7" i="3"/>
  <c r="C6" i="3"/>
  <c r="B6" i="3"/>
  <c r="C5" i="3"/>
  <c r="B5" i="3"/>
  <c r="C4" i="3"/>
  <c r="B4" i="3"/>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E14" i="3" l="1"/>
  <c r="D14" i="3"/>
  <c r="G14" i="3" s="1"/>
  <c r="D13" i="3"/>
  <c r="G13" i="3" s="1"/>
  <c r="E13" i="3"/>
  <c r="E12" i="3"/>
  <c r="D12" i="3"/>
  <c r="G12" i="3" s="1"/>
  <c r="E11" i="3"/>
  <c r="D11" i="3"/>
  <c r="E10" i="3"/>
  <c r="D10" i="3"/>
  <c r="G10" i="3" s="1"/>
  <c r="D9" i="3"/>
  <c r="G9" i="3" s="1"/>
  <c r="E9" i="3"/>
  <c r="D8" i="3"/>
  <c r="G8" i="3" s="1"/>
  <c r="E8" i="3"/>
  <c r="E7" i="3"/>
  <c r="D7" i="3"/>
  <c r="G7" i="3" s="1"/>
  <c r="E6" i="3"/>
  <c r="D6" i="3"/>
  <c r="G6" i="3" s="1"/>
  <c r="D5" i="3"/>
  <c r="E5" i="3"/>
  <c r="D4" i="3"/>
  <c r="E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Projeto</author>
  </authors>
  <commentList>
    <comment ref="B1" authorId="0" shapeId="0" xr:uid="{00000000-0006-0000-0100-000001000000}">
      <text>
        <r>
          <rPr>
            <sz val="11"/>
            <color theme="1"/>
            <rFont val="Calibri"/>
            <family val="2"/>
            <scheme val="minor"/>
          </rPr>
          <t>Antes = piloto em observação (sem alertas); Depois = sistema em uso e palestra feita.</t>
        </r>
      </text>
    </comment>
  </commentList>
</comments>
</file>

<file path=xl/sharedStrings.xml><?xml version="1.0" encoding="utf-8"?>
<sst xmlns="http://schemas.openxmlformats.org/spreadsheetml/2006/main" count="92" uniqueCount="69">
  <si>
    <t>Planilha antes x depois – Verificador de EPIs de Solda (Etapa 2.7)</t>
  </si>
  <si>
    <t>Compara o setor de solda ANTES e DEPOIS do sistema (e da palestra de conscientização), semana a semana.</t>
  </si>
  <si>
    <t>1. Na aba Semanas, preencha uma linha por semana. Só as células AMARELAS são para digitar; o resto é fórmula.</t>
  </si>
  <si>
    <t>2. Coluna Fase: escolha Antes (piloto em observação: câmeras ligadas, sem alertas e sem cobrança) ou Depois</t>
  </si>
  <si>
    <t xml:space="preserve">   (sistema em uso, alertas ligados e palestra feita).</t>
  </si>
  <si>
    <t>3. De onde vêm os números (no sistema, tela Painel, filtrando a semana e o posto):</t>
  </si>
  <si>
    <t xml:space="preserve">   - Horas de câmera ligada: tempo em que o posto ficou online na semana (anote ou estime pelo cordão do turno).</t>
  </si>
  <si>
    <t xml:space="preserve">   - Ocorrências, confirmadas, falsos positivos: telas Ocorrências e Painel.</t>
  </si>
  <si>
    <t xml:space="preserve">   - Conformidade da máscara (%) e indeterminado (%): cartão Conformidade do Painel.</t>
  </si>
  <si>
    <t xml:space="preserve">   - Com arco aceso: nota no fim do Painel.</t>
  </si>
  <si>
    <t>4. Observação manual (opcional, recomendada): o técnico de segurança observa o posto em horários sorteados e</t>
  </si>
  <si>
    <t xml:space="preserve">   anota quantos soldadores viu e quantos estavam sem máscara. Serve para conferir o sistema.</t>
  </si>
  <si>
    <t>5. A aba Antes x Depois calcula tudo sozinha. A aba Modelo (Fase 1) traz os resultados REAIS da validação.</t>
  </si>
  <si>
    <t>A linha EXEMPLO (cinza) da aba Semanas mostra o formato e NÃO entra nas contas. Pode apagá-la.</t>
  </si>
  <si>
    <t>Percentuais: digite 82% (ou 0,82). Nenhum número do piloto foi inventado: esses campos estão vazios.</t>
  </si>
  <si>
    <t>Cor das células para digitar:</t>
  </si>
  <si>
    <t>Semana (início)</t>
  </si>
  <si>
    <t>Fase</t>
  </si>
  <si>
    <t>Posto</t>
  </si>
  <si>
    <t>Horas de câmera ligada</t>
  </si>
  <si>
    <t>Ocorrências</t>
  </si>
  <si>
    <t>Confirmadas</t>
  </si>
  <si>
    <t>Falsos positivos</t>
  </si>
  <si>
    <t>Conformidade da máscara (%)</t>
  </si>
  <si>
    <t>Indeterminado (%)</t>
  </si>
  <si>
    <t>Com arco aceso</t>
  </si>
  <si>
    <t>Soldadores observados (manual)</t>
  </si>
  <si>
    <t>Sem máscara observados (manual)</t>
  </si>
  <si>
    <t>Ocorrências por 100 h</t>
  </si>
  <si>
    <t>06/04/2027</t>
  </si>
  <si>
    <t>EXEMPLO</t>
  </si>
  <si>
    <t>MIG 01</t>
  </si>
  <si>
    <t>Antes x Depois (calculado da aba Semanas)</t>
  </si>
  <si>
    <t>Indicador</t>
  </si>
  <si>
    <t>Antes</t>
  </si>
  <si>
    <t>Depois</t>
  </si>
  <si>
    <t>Diferença</t>
  </si>
  <si>
    <t>Variação</t>
  </si>
  <si>
    <t>Melhor quando</t>
  </si>
  <si>
    <t>Melhorou?</t>
  </si>
  <si>
    <t>Semanas registradas</t>
  </si>
  <si>
    <t>—</t>
  </si>
  <si>
    <t>Ocorrências registradas</t>
  </si>
  <si>
    <t>menor</t>
  </si>
  <si>
    <t>Ocorrências por 100 h de câmera</t>
  </si>
  <si>
    <t>Conformidade da máscara (média ponderada pelas horas)</t>
  </si>
  <si>
    <t>maior</t>
  </si>
  <si>
    <t>Indeterminado (média ponderada pelas horas)</t>
  </si>
  <si>
    <t>Ocorrências com arco aceso</t>
  </si>
  <si>
    <t>Acerto do sistema nas validadas</t>
  </si>
  <si>
    <t>Sem máscara na observação manual</t>
  </si>
  <si>
    <t>Variação = (Depois − Antes) ÷ Antes. As taxas (por 100 h, %) são as mais justas para comparar períodos de tamanhos diferentes.</t>
  </si>
  <si>
    <t>Cuidado ao concluir: poucas semanas e mudanças no setor (turnos, pessoas, produção) também mudam os números.</t>
  </si>
  <si>
    <t>Resultados REAIS da validação do modelo de máscara (não editar)</t>
  </si>
  <si>
    <t>Fonte: docs/relatorio_validacao_fase1.md (seções 1, 4.1, 4.2 e 4.3) e docs/resultados_testes_campo.md.</t>
  </si>
  <si>
    <t>Métrica</t>
  </si>
  <si>
    <t>Meta mínima</t>
  </si>
  <si>
    <t>v3</t>
  </si>
  <si>
    <t>v4</t>
  </si>
  <si>
    <t>v5 (em uso)</t>
  </si>
  <si>
    <t>mAP@0.5 da máscara (conjunto de teste)</t>
  </si>
  <si>
    <t>Recall da ausência nos testes de campo (9 de 11)</t>
  </si>
  <si>
    <t>Falsos positivos nas ocorrências (0 de 16)</t>
  </si>
  <si>
    <t>Alarmes falsos nos testes sem falta (0 de 12)</t>
  </si>
  <si>
    <t>Verde na máscara abaixada (média dos trechos)</t>
  </si>
  <si>
    <t>Verde falso em quem está sem máscara (média)</t>
  </si>
  <si>
    <t>FPS em CPU (imgsz 640, Ryzen 5 5600)</t>
  </si>
  <si>
    <t>Recall: intervalo de confiança de 95% de 52% a 95% (amostra pequena). Falsos positivos: limite superior de 19%.</t>
  </si>
  <si>
    <t>"—" = não registrado no relatório para essa versão.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</si>
</sst>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8" x14ac:knownFonts="1">
    <font>
      <sz val="11"/>
      <color theme="1"/>
      <name val="Calibri"/>
      <family val="2"/>
      <scheme val="minor"/>
    </font>
    <font>
      <b/>
      <sz val="13"/>
      <name val="Arial"/>
    </font>
    <font>
      <sz val="10"/>
      <name val="Arial"/>
    </font>
    <font>
      <b/>
      <sz val="11"/>
      <color rgb="FFFFFFFF"/>
      <name val="Arial"/>
    </font>
    <font>
      <i/>
      <sz val="11"/>
      <color rgb="FF808080"/>
      <name val="Arial"/>
    </font>
    <font>
      <sz val="11"/>
      <color rgb="FF0000FF"/>
      <name val="Arial"/>
    </font>
    <font>
      <sz val="11"/>
      <name val="Arial"/>
    </font>
    <font>
      <i/>
      <sz val="9"/>
      <name val="Arial"/>
    </font>
  </fonts>
  <fills count="4">
    <fill>
      <patternFill patternType="none"/>
    </fill>
    <fill>
      <patternFill patternType="gray125"/>
    </fill>
    <fill>
      <patternFill patternType="solid">
        <fgColor rgb="FFFFFF00"/>
      </patternFill>
    </fill>
    <fill>
      <patternFill patternType="solid">
        <fgColor rgb="FF1E2933"/>
      </patternFill>
    </fill>
  </fills>
  <borders count="2">
    <border>
      <left/>
      <right/>
      <top/>
      <bottom/>
      <diagonal/>
    </border>
    <border>
      <left style="thin">
        <color rgb="FFD5DBE1"/>
      </left>
      <right style="thin">
        <color rgb="FFD5DBE1"/>
      </right>
      <top style="thin">
        <color rgb="FFD5DBE1"/>
      </top>
      <bottom style="thin">
        <color rgb="FFD5DBE1"/>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0" fillId="2" borderId="0" xfId="0" applyFill="1"/>
    <xf numFmtId="0" fontId="3" fillId="3" borderId="1" xfId="0" applyFont="1" applyFill="1" applyBorder="1" applyAlignment="1">
      <alignment vertical="center" wrapText="1"/>
    </xf>
    <xf numFmtId="0" fontId="4" fillId="0" borderId="1" xfId="0" applyFont="1" applyBorder="1"/>
    <xf numFmtId="164" fontId="4" fillId="0" borderId="1" xfId="0" applyNumberFormat="1" applyFont="1" applyBorder="1"/>
    <xf numFmtId="165" fontId="4" fillId="0" borderId="0" xfId="0" applyNumberFormat="1" applyFont="1"/>
    <xf numFmtId="0" fontId="5" fillId="2" borderId="1" xfId="0" applyFont="1" applyFill="1" applyBorder="1"/>
    <xf numFmtId="164" fontId="5" fillId="2" borderId="1" xfId="0" applyNumberFormat="1" applyFont="1" applyFill="1" applyBorder="1"/>
    <xf numFmtId="165" fontId="6" fillId="0" borderId="1" xfId="0" applyNumberFormat="1" applyFont="1" applyBorder="1"/>
    <xf numFmtId="0" fontId="3" fillId="3" borderId="1" xfId="0" applyFont="1" applyFill="1" applyBorder="1"/>
    <xf numFmtId="0" fontId="6" fillId="0" borderId="1" xfId="0" applyFont="1" applyBorder="1"/>
    <xf numFmtId="1" fontId="6" fillId="0" borderId="1" xfId="0" applyNumberFormat="1" applyFont="1" applyBorder="1"/>
    <xf numFmtId="164" fontId="6" fillId="0" borderId="1" xfId="0" applyNumberFormat="1" applyFont="1" applyBorder="1"/>
    <xf numFmtId="0" fontId="7" fillId="0" borderId="0" xfId="0" applyFont="1"/>
    <xf numFmtId="9" fontId="6" fillId="0" borderId="1" xfId="0" applyNumberFormat="1" applyFont="1" applyBorder="1"/>
    <xf numFmtId="166" fontId="6"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workbookViewId="0"/>
  </sheetViews>
  <sheetFormatPr defaultRowHeight="15" x14ac:dyDescent="0.25"/>
  <cols>
    <col min="1" max="1" width="110" customWidth="1"/>
  </cols>
  <sheetData>
    <row r="1" spans="1:1" ht="16.5" x14ac:dyDescent="0.25">
      <c r="A1" s="1" t="s">
        <v>0</v>
      </c>
    </row>
    <row r="2" spans="1:1" x14ac:dyDescent="0.25">
      <c r="A2" s="2" t="s">
        <v>1</v>
      </c>
    </row>
    <row r="3" spans="1:1" x14ac:dyDescent="0.25">
      <c r="A3" s="2"/>
    </row>
    <row r="4" spans="1:1" x14ac:dyDescent="0.25">
      <c r="A4" s="2" t="s">
        <v>2</v>
      </c>
    </row>
    <row r="5" spans="1:1" x14ac:dyDescent="0.25">
      <c r="A5" s="2" t="s">
        <v>3</v>
      </c>
    </row>
    <row r="6" spans="1:1" x14ac:dyDescent="0.25">
      <c r="A6" s="2"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t="s">
        <v>10</v>
      </c>
    </row>
    <row r="13" spans="1:1" x14ac:dyDescent="0.25">
      <c r="A13" s="2" t="s">
        <v>11</v>
      </c>
    </row>
    <row r="14" spans="1:1" x14ac:dyDescent="0.25">
      <c r="A14" s="2" t="s">
        <v>12</v>
      </c>
    </row>
    <row r="15" spans="1:1" x14ac:dyDescent="0.25">
      <c r="A15" s="2"/>
    </row>
    <row r="16" spans="1:1" x14ac:dyDescent="0.25">
      <c r="A16" s="2" t="s">
        <v>13</v>
      </c>
    </row>
    <row r="17" spans="1:2" x14ac:dyDescent="0.25">
      <c r="A17" s="2" t="s">
        <v>14</v>
      </c>
    </row>
    <row r="19" spans="1:2" x14ac:dyDescent="0.25">
      <c r="A19" s="2" t="s">
        <v>15</v>
      </c>
      <c r="B19"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2"/>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4" customWidth="1"/>
    <col min="4" max="7" width="12" customWidth="1"/>
    <col min="8" max="8" width="14" customWidth="1"/>
    <col min="9" max="9" width="13" customWidth="1"/>
    <col min="10" max="10" width="11" customWidth="1"/>
    <col min="11" max="12" width="14" customWidth="1"/>
    <col min="13" max="13" width="12" customWidth="1"/>
  </cols>
  <sheetData>
    <row r="1" spans="1:13" ht="45" customHeight="1" x14ac:dyDescent="0.25">
      <c r="A1" s="4" t="s">
        <v>16</v>
      </c>
      <c r="B1" s="4" t="s">
        <v>17</v>
      </c>
      <c r="C1" s="4" t="s">
        <v>18</v>
      </c>
      <c r="D1" s="4" t="s">
        <v>19</v>
      </c>
      <c r="E1" s="4" t="s">
        <v>20</v>
      </c>
      <c r="F1" s="4" t="s">
        <v>21</v>
      </c>
      <c r="G1" s="4" t="s">
        <v>22</v>
      </c>
      <c r="H1" s="4" t="s">
        <v>23</v>
      </c>
      <c r="I1" s="4" t="s">
        <v>24</v>
      </c>
      <c r="J1" s="4" t="s">
        <v>25</v>
      </c>
      <c r="K1" s="4" t="s">
        <v>26</v>
      </c>
      <c r="L1" s="4" t="s">
        <v>27</v>
      </c>
      <c r="M1" s="4" t="s">
        <v>28</v>
      </c>
    </row>
    <row r="2" spans="1:13" x14ac:dyDescent="0.25">
      <c r="A2" s="5" t="s">
        <v>29</v>
      </c>
      <c r="B2" s="5" t="s">
        <v>30</v>
      </c>
      <c r="C2" s="5" t="s">
        <v>31</v>
      </c>
      <c r="D2" s="5">
        <v>40</v>
      </c>
      <c r="E2" s="5">
        <v>12</v>
      </c>
      <c r="F2" s="5">
        <v>9</v>
      </c>
      <c r="G2" s="5">
        <v>2</v>
      </c>
      <c r="H2" s="6">
        <v>0.81</v>
      </c>
      <c r="I2" s="6">
        <v>0.18</v>
      </c>
      <c r="J2" s="5">
        <v>4</v>
      </c>
      <c r="K2" s="5">
        <v>30</v>
      </c>
      <c r="L2" s="5">
        <v>3</v>
      </c>
      <c r="M2" s="7">
        <f t="shared" ref="M2:M42" si="0">IF(N(D2)&gt;0,E2/D2*100,"")</f>
        <v>30</v>
      </c>
    </row>
    <row r="3" spans="1:13" x14ac:dyDescent="0.25">
      <c r="A3" s="8"/>
      <c r="B3" s="8"/>
      <c r="C3" s="8"/>
      <c r="D3" s="8"/>
      <c r="E3" s="8"/>
      <c r="F3" s="8"/>
      <c r="G3" s="8"/>
      <c r="H3" s="9"/>
      <c r="I3" s="9"/>
      <c r="J3" s="8"/>
      <c r="K3" s="8"/>
      <c r="L3" s="8"/>
      <c r="M3" s="10" t="str">
        <f t="shared" si="0"/>
        <v/>
      </c>
    </row>
    <row r="4" spans="1:13" x14ac:dyDescent="0.25">
      <c r="A4" s="8"/>
      <c r="B4" s="8"/>
      <c r="C4" s="8"/>
      <c r="D4" s="8"/>
      <c r="E4" s="8"/>
      <c r="F4" s="8"/>
      <c r="G4" s="8"/>
      <c r="H4" s="9"/>
      <c r="I4" s="9"/>
      <c r="J4" s="8"/>
      <c r="K4" s="8"/>
      <c r="L4" s="8"/>
      <c r="M4" s="10" t="str">
        <f t="shared" si="0"/>
        <v/>
      </c>
    </row>
    <row r="5" spans="1:13" x14ac:dyDescent="0.25">
      <c r="A5" s="8"/>
      <c r="B5" s="8"/>
      <c r="C5" s="8"/>
      <c r="D5" s="8"/>
      <c r="E5" s="8"/>
      <c r="F5" s="8"/>
      <c r="G5" s="8"/>
      <c r="H5" s="9"/>
      <c r="I5" s="9"/>
      <c r="J5" s="8"/>
      <c r="K5" s="8"/>
      <c r="L5" s="8"/>
      <c r="M5" s="10" t="str">
        <f t="shared" si="0"/>
        <v/>
      </c>
    </row>
    <row r="6" spans="1:13" x14ac:dyDescent="0.25">
      <c r="A6" s="8"/>
      <c r="B6" s="8"/>
      <c r="C6" s="8"/>
      <c r="D6" s="8"/>
      <c r="E6" s="8"/>
      <c r="F6" s="8"/>
      <c r="G6" s="8"/>
      <c r="H6" s="9"/>
      <c r="I6" s="9"/>
      <c r="J6" s="8"/>
      <c r="K6" s="8"/>
      <c r="L6" s="8"/>
      <c r="M6" s="10" t="str">
        <f t="shared" si="0"/>
        <v/>
      </c>
    </row>
    <row r="7" spans="1:13" x14ac:dyDescent="0.25">
      <c r="A7" s="8"/>
      <c r="B7" s="8"/>
      <c r="C7" s="8"/>
      <c r="D7" s="8"/>
      <c r="E7" s="8"/>
      <c r="F7" s="8"/>
      <c r="G7" s="8"/>
      <c r="H7" s="9"/>
      <c r="I7" s="9"/>
      <c r="J7" s="8"/>
      <c r="K7" s="8"/>
      <c r="L7" s="8"/>
      <c r="M7" s="10" t="str">
        <f t="shared" si="0"/>
        <v/>
      </c>
    </row>
    <row r="8" spans="1:13" x14ac:dyDescent="0.25">
      <c r="A8" s="8"/>
      <c r="B8" s="8"/>
      <c r="C8" s="8"/>
      <c r="D8" s="8"/>
      <c r="E8" s="8"/>
      <c r="F8" s="8"/>
      <c r="G8" s="8"/>
      <c r="H8" s="9"/>
      <c r="I8" s="9"/>
      <c r="J8" s="8"/>
      <c r="K8" s="8"/>
      <c r="L8" s="8"/>
      <c r="M8" s="10" t="str">
        <f t="shared" si="0"/>
        <v/>
      </c>
    </row>
    <row r="9" spans="1:13" x14ac:dyDescent="0.25">
      <c r="A9" s="8"/>
      <c r="B9" s="8"/>
      <c r="C9" s="8"/>
      <c r="D9" s="8"/>
      <c r="E9" s="8"/>
      <c r="F9" s="8"/>
      <c r="G9" s="8"/>
      <c r="H9" s="9"/>
      <c r="I9" s="9"/>
      <c r="J9" s="8"/>
      <c r="K9" s="8"/>
      <c r="L9" s="8"/>
      <c r="M9" s="10" t="str">
        <f t="shared" si="0"/>
        <v/>
      </c>
    </row>
    <row r="10" spans="1:13" x14ac:dyDescent="0.25">
      <c r="A10" s="8"/>
      <c r="B10" s="8"/>
      <c r="C10" s="8"/>
      <c r="D10" s="8"/>
      <c r="E10" s="8"/>
      <c r="F10" s="8"/>
      <c r="G10" s="8"/>
      <c r="H10" s="9"/>
      <c r="I10" s="9"/>
      <c r="J10" s="8"/>
      <c r="K10" s="8"/>
      <c r="L10" s="8"/>
      <c r="M10" s="10" t="str">
        <f t="shared" si="0"/>
        <v/>
      </c>
    </row>
    <row r="11" spans="1:13" x14ac:dyDescent="0.25">
      <c r="A11" s="8"/>
      <c r="B11" s="8"/>
      <c r="C11" s="8"/>
      <c r="D11" s="8"/>
      <c r="E11" s="8"/>
      <c r="F11" s="8"/>
      <c r="G11" s="8"/>
      <c r="H11" s="9"/>
      <c r="I11" s="9"/>
      <c r="J11" s="8"/>
      <c r="K11" s="8"/>
      <c r="L11" s="8"/>
      <c r="M11" s="10" t="str">
        <f t="shared" si="0"/>
        <v/>
      </c>
    </row>
    <row r="12" spans="1:13" x14ac:dyDescent="0.25">
      <c r="A12" s="8"/>
      <c r="B12" s="8"/>
      <c r="C12" s="8"/>
      <c r="D12" s="8"/>
      <c r="E12" s="8"/>
      <c r="F12" s="8"/>
      <c r="G12" s="8"/>
      <c r="H12" s="9"/>
      <c r="I12" s="9"/>
      <c r="J12" s="8"/>
      <c r="K12" s="8"/>
      <c r="L12" s="8"/>
      <c r="M12" s="10" t="str">
        <f t="shared" si="0"/>
        <v/>
      </c>
    </row>
    <row r="13" spans="1:13" x14ac:dyDescent="0.25">
      <c r="A13" s="8"/>
      <c r="B13" s="8"/>
      <c r="C13" s="8"/>
      <c r="D13" s="8"/>
      <c r="E13" s="8"/>
      <c r="F13" s="8"/>
      <c r="G13" s="8"/>
      <c r="H13" s="9"/>
      <c r="I13" s="9"/>
      <c r="J13" s="8"/>
      <c r="K13" s="8"/>
      <c r="L13" s="8"/>
      <c r="M13" s="10" t="str">
        <f t="shared" si="0"/>
        <v/>
      </c>
    </row>
    <row r="14" spans="1:13" x14ac:dyDescent="0.25">
      <c r="A14" s="8"/>
      <c r="B14" s="8"/>
      <c r="C14" s="8"/>
      <c r="D14" s="8"/>
      <c r="E14" s="8"/>
      <c r="F14" s="8"/>
      <c r="G14" s="8"/>
      <c r="H14" s="9"/>
      <c r="I14" s="9"/>
      <c r="J14" s="8"/>
      <c r="K14" s="8"/>
      <c r="L14" s="8"/>
      <c r="M14" s="10" t="str">
        <f t="shared" si="0"/>
        <v/>
      </c>
    </row>
    <row r="15" spans="1:13" x14ac:dyDescent="0.25">
      <c r="A15" s="8"/>
      <c r="B15" s="8"/>
      <c r="C15" s="8"/>
      <c r="D15" s="8"/>
      <c r="E15" s="8"/>
      <c r="F15" s="8"/>
      <c r="G15" s="8"/>
      <c r="H15" s="9"/>
      <c r="I15" s="9"/>
      <c r="J15" s="8"/>
      <c r="K15" s="8"/>
      <c r="L15" s="8"/>
      <c r="M15" s="10" t="str">
        <f t="shared" si="0"/>
        <v/>
      </c>
    </row>
    <row r="16" spans="1:13" x14ac:dyDescent="0.25">
      <c r="A16" s="8"/>
      <c r="B16" s="8"/>
      <c r="C16" s="8"/>
      <c r="D16" s="8"/>
      <c r="E16" s="8"/>
      <c r="F16" s="8"/>
      <c r="G16" s="8"/>
      <c r="H16" s="9"/>
      <c r="I16" s="9"/>
      <c r="J16" s="8"/>
      <c r="K16" s="8"/>
      <c r="L16" s="8"/>
      <c r="M16" s="10" t="str">
        <f t="shared" si="0"/>
        <v/>
      </c>
    </row>
    <row r="17" spans="1:13" x14ac:dyDescent="0.25">
      <c r="A17" s="8"/>
      <c r="B17" s="8"/>
      <c r="C17" s="8"/>
      <c r="D17" s="8"/>
      <c r="E17" s="8"/>
      <c r="F17" s="8"/>
      <c r="G17" s="8"/>
      <c r="H17" s="9"/>
      <c r="I17" s="9"/>
      <c r="J17" s="8"/>
      <c r="K17" s="8"/>
      <c r="L17" s="8"/>
      <c r="M17" s="10" t="str">
        <f t="shared" si="0"/>
        <v/>
      </c>
    </row>
    <row r="18" spans="1:13" x14ac:dyDescent="0.25">
      <c r="A18" s="8"/>
      <c r="B18" s="8"/>
      <c r="C18" s="8"/>
      <c r="D18" s="8"/>
      <c r="E18" s="8"/>
      <c r="F18" s="8"/>
      <c r="G18" s="8"/>
      <c r="H18" s="9"/>
      <c r="I18" s="9"/>
      <c r="J18" s="8"/>
      <c r="K18" s="8"/>
      <c r="L18" s="8"/>
      <c r="M18" s="10" t="str">
        <f t="shared" si="0"/>
        <v/>
      </c>
    </row>
    <row r="19" spans="1:13" x14ac:dyDescent="0.25">
      <c r="A19" s="8"/>
      <c r="B19" s="8"/>
      <c r="C19" s="8"/>
      <c r="D19" s="8"/>
      <c r="E19" s="8"/>
      <c r="F19" s="8"/>
      <c r="G19" s="8"/>
      <c r="H19" s="9"/>
      <c r="I19" s="9"/>
      <c r="J19" s="8"/>
      <c r="K19" s="8"/>
      <c r="L19" s="8"/>
      <c r="M19" s="10" t="str">
        <f t="shared" si="0"/>
        <v/>
      </c>
    </row>
    <row r="20" spans="1:13" x14ac:dyDescent="0.25">
      <c r="A20" s="8"/>
      <c r="B20" s="8"/>
      <c r="C20" s="8"/>
      <c r="D20" s="8"/>
      <c r="E20" s="8"/>
      <c r="F20" s="8"/>
      <c r="G20" s="8"/>
      <c r="H20" s="9"/>
      <c r="I20" s="9"/>
      <c r="J20" s="8"/>
      <c r="K20" s="8"/>
      <c r="L20" s="8"/>
      <c r="M20" s="10" t="str">
        <f t="shared" si="0"/>
        <v/>
      </c>
    </row>
    <row r="21" spans="1:13" x14ac:dyDescent="0.25">
      <c r="A21" s="8"/>
      <c r="B21" s="8"/>
      <c r="C21" s="8"/>
      <c r="D21" s="8"/>
      <c r="E21" s="8"/>
      <c r="F21" s="8"/>
      <c r="G21" s="8"/>
      <c r="H21" s="9"/>
      <c r="I21" s="9"/>
      <c r="J21" s="8"/>
      <c r="K21" s="8"/>
      <c r="L21" s="8"/>
      <c r="M21" s="10" t="str">
        <f t="shared" si="0"/>
        <v/>
      </c>
    </row>
    <row r="22" spans="1:13" x14ac:dyDescent="0.25">
      <c r="A22" s="8"/>
      <c r="B22" s="8"/>
      <c r="C22" s="8"/>
      <c r="D22" s="8"/>
      <c r="E22" s="8"/>
      <c r="F22" s="8"/>
      <c r="G22" s="8"/>
      <c r="H22" s="9"/>
      <c r="I22" s="9"/>
      <c r="J22" s="8"/>
      <c r="K22" s="8"/>
      <c r="L22" s="8"/>
      <c r="M22" s="10" t="str">
        <f t="shared" si="0"/>
        <v/>
      </c>
    </row>
    <row r="23" spans="1:13" x14ac:dyDescent="0.25">
      <c r="A23" s="8"/>
      <c r="B23" s="8"/>
      <c r="C23" s="8"/>
      <c r="D23" s="8"/>
      <c r="E23" s="8"/>
      <c r="F23" s="8"/>
      <c r="G23" s="8"/>
      <c r="H23" s="9"/>
      <c r="I23" s="9"/>
      <c r="J23" s="8"/>
      <c r="K23" s="8"/>
      <c r="L23" s="8"/>
      <c r="M23" s="10" t="str">
        <f t="shared" si="0"/>
        <v/>
      </c>
    </row>
    <row r="24" spans="1:13" x14ac:dyDescent="0.25">
      <c r="A24" s="8"/>
      <c r="B24" s="8"/>
      <c r="C24" s="8"/>
      <c r="D24" s="8"/>
      <c r="E24" s="8"/>
      <c r="F24" s="8"/>
      <c r="G24" s="8"/>
      <c r="H24" s="9"/>
      <c r="I24" s="9"/>
      <c r="J24" s="8"/>
      <c r="K24" s="8"/>
      <c r="L24" s="8"/>
      <c r="M24" s="10" t="str">
        <f t="shared" si="0"/>
        <v/>
      </c>
    </row>
    <row r="25" spans="1:13" x14ac:dyDescent="0.25">
      <c r="A25" s="8"/>
      <c r="B25" s="8"/>
      <c r="C25" s="8"/>
      <c r="D25" s="8"/>
      <c r="E25" s="8"/>
      <c r="F25" s="8"/>
      <c r="G25" s="8"/>
      <c r="H25" s="9"/>
      <c r="I25" s="9"/>
      <c r="J25" s="8"/>
      <c r="K25" s="8"/>
      <c r="L25" s="8"/>
      <c r="M25" s="10" t="str">
        <f t="shared" si="0"/>
        <v/>
      </c>
    </row>
    <row r="26" spans="1:13" x14ac:dyDescent="0.25">
      <c r="A26" s="8"/>
      <c r="B26" s="8"/>
      <c r="C26" s="8"/>
      <c r="D26" s="8"/>
      <c r="E26" s="8"/>
      <c r="F26" s="8"/>
      <c r="G26" s="8"/>
      <c r="H26" s="9"/>
      <c r="I26" s="9"/>
      <c r="J26" s="8"/>
      <c r="K26" s="8"/>
      <c r="L26" s="8"/>
      <c r="M26" s="10" t="str">
        <f t="shared" si="0"/>
        <v/>
      </c>
    </row>
    <row r="27" spans="1:13" x14ac:dyDescent="0.25">
      <c r="A27" s="8"/>
      <c r="B27" s="8"/>
      <c r="C27" s="8"/>
      <c r="D27" s="8"/>
      <c r="E27" s="8"/>
      <c r="F27" s="8"/>
      <c r="G27" s="8"/>
      <c r="H27" s="9"/>
      <c r="I27" s="9"/>
      <c r="J27" s="8"/>
      <c r="K27" s="8"/>
      <c r="L27" s="8"/>
      <c r="M27" s="10" t="str">
        <f t="shared" si="0"/>
        <v/>
      </c>
    </row>
    <row r="28" spans="1:13" x14ac:dyDescent="0.25">
      <c r="A28" s="8"/>
      <c r="B28" s="8"/>
      <c r="C28" s="8"/>
      <c r="D28" s="8"/>
      <c r="E28" s="8"/>
      <c r="F28" s="8"/>
      <c r="G28" s="8"/>
      <c r="H28" s="9"/>
      <c r="I28" s="9"/>
      <c r="J28" s="8"/>
      <c r="K28" s="8"/>
      <c r="L28" s="8"/>
      <c r="M28" s="10" t="str">
        <f t="shared" si="0"/>
        <v/>
      </c>
    </row>
    <row r="29" spans="1:13" x14ac:dyDescent="0.25">
      <c r="A29" s="8"/>
      <c r="B29" s="8"/>
      <c r="C29" s="8"/>
      <c r="D29" s="8"/>
      <c r="E29" s="8"/>
      <c r="F29" s="8"/>
      <c r="G29" s="8"/>
      <c r="H29" s="9"/>
      <c r="I29" s="9"/>
      <c r="J29" s="8"/>
      <c r="K29" s="8"/>
      <c r="L29" s="8"/>
      <c r="M29" s="10" t="str">
        <f t="shared" si="0"/>
        <v/>
      </c>
    </row>
    <row r="30" spans="1:13" x14ac:dyDescent="0.25">
      <c r="A30" s="8"/>
      <c r="B30" s="8"/>
      <c r="C30" s="8"/>
      <c r="D30" s="8"/>
      <c r="E30" s="8"/>
      <c r="F30" s="8"/>
      <c r="G30" s="8"/>
      <c r="H30" s="9"/>
      <c r="I30" s="9"/>
      <c r="J30" s="8"/>
      <c r="K30" s="8"/>
      <c r="L30" s="8"/>
      <c r="M30" s="10" t="str">
        <f t="shared" si="0"/>
        <v/>
      </c>
    </row>
    <row r="31" spans="1:13" x14ac:dyDescent="0.25">
      <c r="A31" s="8"/>
      <c r="B31" s="8"/>
      <c r="C31" s="8"/>
      <c r="D31" s="8"/>
      <c r="E31" s="8"/>
      <c r="F31" s="8"/>
      <c r="G31" s="8"/>
      <c r="H31" s="9"/>
      <c r="I31" s="9"/>
      <c r="J31" s="8"/>
      <c r="K31" s="8"/>
      <c r="L31" s="8"/>
      <c r="M31" s="10" t="str">
        <f t="shared" si="0"/>
        <v/>
      </c>
    </row>
    <row r="32" spans="1:13" x14ac:dyDescent="0.25">
      <c r="A32" s="8"/>
      <c r="B32" s="8"/>
      <c r="C32" s="8"/>
      <c r="D32" s="8"/>
      <c r="E32" s="8"/>
      <c r="F32" s="8"/>
      <c r="G32" s="8"/>
      <c r="H32" s="9"/>
      <c r="I32" s="9"/>
      <c r="J32" s="8"/>
      <c r="K32" s="8"/>
      <c r="L32" s="8"/>
      <c r="M32" s="10" t="str">
        <f t="shared" si="0"/>
        <v/>
      </c>
    </row>
    <row r="33" spans="1:13" x14ac:dyDescent="0.25">
      <c r="A33" s="8"/>
      <c r="B33" s="8"/>
      <c r="C33" s="8"/>
      <c r="D33" s="8"/>
      <c r="E33" s="8"/>
      <c r="F33" s="8"/>
      <c r="G33" s="8"/>
      <c r="H33" s="9"/>
      <c r="I33" s="9"/>
      <c r="J33" s="8"/>
      <c r="K33" s="8"/>
      <c r="L33" s="8"/>
      <c r="M33" s="10" t="str">
        <f t="shared" si="0"/>
        <v/>
      </c>
    </row>
    <row r="34" spans="1:13" x14ac:dyDescent="0.25">
      <c r="A34" s="8"/>
      <c r="B34" s="8"/>
      <c r="C34" s="8"/>
      <c r="D34" s="8"/>
      <c r="E34" s="8"/>
      <c r="F34" s="8"/>
      <c r="G34" s="8"/>
      <c r="H34" s="9"/>
      <c r="I34" s="9"/>
      <c r="J34" s="8"/>
      <c r="K34" s="8"/>
      <c r="L34" s="8"/>
      <c r="M34" s="10" t="str">
        <f t="shared" si="0"/>
        <v/>
      </c>
    </row>
    <row r="35" spans="1:13" x14ac:dyDescent="0.25">
      <c r="A35" s="8"/>
      <c r="B35" s="8"/>
      <c r="C35" s="8"/>
      <c r="D35" s="8"/>
      <c r="E35" s="8"/>
      <c r="F35" s="8"/>
      <c r="G35" s="8"/>
      <c r="H35" s="9"/>
      <c r="I35" s="9"/>
      <c r="J35" s="8"/>
      <c r="K35" s="8"/>
      <c r="L35" s="8"/>
      <c r="M35" s="10" t="str">
        <f t="shared" si="0"/>
        <v/>
      </c>
    </row>
    <row r="36" spans="1:13" x14ac:dyDescent="0.25">
      <c r="A36" s="8"/>
      <c r="B36" s="8"/>
      <c r="C36" s="8"/>
      <c r="D36" s="8"/>
      <c r="E36" s="8"/>
      <c r="F36" s="8"/>
      <c r="G36" s="8"/>
      <c r="H36" s="9"/>
      <c r="I36" s="9"/>
      <c r="J36" s="8"/>
      <c r="K36" s="8"/>
      <c r="L36" s="8"/>
      <c r="M36" s="10" t="str">
        <f t="shared" si="0"/>
        <v/>
      </c>
    </row>
    <row r="37" spans="1:13" x14ac:dyDescent="0.25">
      <c r="A37" s="8"/>
      <c r="B37" s="8"/>
      <c r="C37" s="8"/>
      <c r="D37" s="8"/>
      <c r="E37" s="8"/>
      <c r="F37" s="8"/>
      <c r="G37" s="8"/>
      <c r="H37" s="9"/>
      <c r="I37" s="9"/>
      <c r="J37" s="8"/>
      <c r="K37" s="8"/>
      <c r="L37" s="8"/>
      <c r="M37" s="10" t="str">
        <f t="shared" si="0"/>
        <v/>
      </c>
    </row>
    <row r="38" spans="1:13" x14ac:dyDescent="0.25">
      <c r="A38" s="8"/>
      <c r="B38" s="8"/>
      <c r="C38" s="8"/>
      <c r="D38" s="8"/>
      <c r="E38" s="8"/>
      <c r="F38" s="8"/>
      <c r="G38" s="8"/>
      <c r="H38" s="9"/>
      <c r="I38" s="9"/>
      <c r="J38" s="8"/>
      <c r="K38" s="8"/>
      <c r="L38" s="8"/>
      <c r="M38" s="10" t="str">
        <f t="shared" si="0"/>
        <v/>
      </c>
    </row>
    <row r="39" spans="1:13" x14ac:dyDescent="0.25">
      <c r="A39" s="8"/>
      <c r="B39" s="8"/>
      <c r="C39" s="8"/>
      <c r="D39" s="8"/>
      <c r="E39" s="8"/>
      <c r="F39" s="8"/>
      <c r="G39" s="8"/>
      <c r="H39" s="9"/>
      <c r="I39" s="9"/>
      <c r="J39" s="8"/>
      <c r="K39" s="8"/>
      <c r="L39" s="8"/>
      <c r="M39" s="10" t="str">
        <f t="shared" si="0"/>
        <v/>
      </c>
    </row>
    <row r="40" spans="1:13" x14ac:dyDescent="0.25">
      <c r="A40" s="8"/>
      <c r="B40" s="8"/>
      <c r="C40" s="8"/>
      <c r="D40" s="8"/>
      <c r="E40" s="8"/>
      <c r="F40" s="8"/>
      <c r="G40" s="8"/>
      <c r="H40" s="9"/>
      <c r="I40" s="9"/>
      <c r="J40" s="8"/>
      <c r="K40" s="8"/>
      <c r="L40" s="8"/>
      <c r="M40" s="10" t="str">
        <f t="shared" si="0"/>
        <v/>
      </c>
    </row>
    <row r="41" spans="1:13" x14ac:dyDescent="0.25">
      <c r="A41" s="8"/>
      <c r="B41" s="8"/>
      <c r="C41" s="8"/>
      <c r="D41" s="8"/>
      <c r="E41" s="8"/>
      <c r="F41" s="8"/>
      <c r="G41" s="8"/>
      <c r="H41" s="9"/>
      <c r="I41" s="9"/>
      <c r="J41" s="8"/>
      <c r="K41" s="8"/>
      <c r="L41" s="8"/>
      <c r="M41" s="10" t="str">
        <f t="shared" si="0"/>
        <v/>
      </c>
    </row>
    <row r="42" spans="1:13" x14ac:dyDescent="0.25">
      <c r="A42" s="8"/>
      <c r="B42" s="8"/>
      <c r="C42" s="8"/>
      <c r="D42" s="8"/>
      <c r="E42" s="8"/>
      <c r="F42" s="8"/>
      <c r="G42" s="8"/>
      <c r="H42" s="9"/>
      <c r="I42" s="9"/>
      <c r="J42" s="8"/>
      <c r="K42" s="8"/>
      <c r="L42" s="8"/>
      <c r="M42" s="10" t="str">
        <f t="shared" si="0"/>
        <v/>
      </c>
    </row>
  </sheetData>
  <dataValidations count="1">
    <dataValidation type="list" allowBlank="1" sqref="B2 B3 B4 B5 B6 B7 B8 B9 B10 B11 B12 B13 B14 B15 B16 B17 B18 B19 B20 B21 B22 B23 B24 B25 B26 B27 B28 B29 B30 B31 B32 B33 B34 B35 B36 B37 B38 B39 B40 B41 B42" xr:uid="{00000000-0002-0000-0100-000000000000}">
      <formula1>"Antes,Depois,EXEMPLO"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heetViews>
  <sheetFormatPr defaultRowHeight="15" x14ac:dyDescent="0.25"/>
  <cols>
    <col min="1" max="1" width="52" customWidth="1"/>
    <col min="2" max="7" width="13" customWidth="1"/>
  </cols>
  <sheetData>
    <row r="1" spans="1:7" ht="16.5" x14ac:dyDescent="0.25">
      <c r="A1" s="1" t="s">
        <v>32</v>
      </c>
    </row>
    <row r="3" spans="1:7" x14ac:dyDescent="0.25">
      <c r="A3" s="11" t="s">
        <v>33</v>
      </c>
      <c r="B3" s="11" t="s">
        <v>34</v>
      </c>
      <c r="C3" s="11" t="s">
        <v>35</v>
      </c>
      <c r="D3" s="11" t="s">
        <v>36</v>
      </c>
      <c r="E3" s="11" t="s">
        <v>37</v>
      </c>
      <c r="F3" s="11" t="s">
        <v>38</v>
      </c>
      <c r="G3" s="11" t="s">
        <v>39</v>
      </c>
    </row>
    <row r="4" spans="1:7" x14ac:dyDescent="0.25">
      <c r="A4" s="12" t="s">
        <v>40</v>
      </c>
      <c r="B4" s="13">
        <f>COUNTIFS(Semanas!$B$2:$B$42,"Antes")</f>
        <v>0</v>
      </c>
      <c r="C4" s="13">
        <f>COUNTIFS(Semanas!$B$2:$B$42,"Depois")</f>
        <v>0</v>
      </c>
      <c r="D4" s="13">
        <f t="shared" ref="D4:D14" si="0">IF(AND(ISNUMBER(B4),ISNUMBER(C4)),C4-B4,"")</f>
        <v>0</v>
      </c>
      <c r="E4" s="14" t="str">
        <f t="shared" ref="E4:E14" si="1">IF(AND(ISNUMBER(B4),ISNUMBER(C4)),IF(B4&lt;&gt;0,(C4-B4)/ABS(B4),""),"")</f>
        <v/>
      </c>
      <c r="F4" s="12" t="s">
        <v>41</v>
      </c>
      <c r="G4" s="12" t="s">
        <v>41</v>
      </c>
    </row>
    <row r="5" spans="1:7" x14ac:dyDescent="0.25">
      <c r="A5" s="12" t="s">
        <v>19</v>
      </c>
      <c r="B5" s="13">
        <f>SUMIFS(Semanas!$D$2:$D$42,Semanas!$B$2:$B$42,"Antes")</f>
        <v>0</v>
      </c>
      <c r="C5" s="13">
        <f>SUMIFS(Semanas!$D$2:$D$42,Semanas!$B$2:$B$42,"Depois")</f>
        <v>0</v>
      </c>
      <c r="D5" s="13">
        <f t="shared" si="0"/>
        <v>0</v>
      </c>
      <c r="E5" s="14" t="str">
        <f t="shared" si="1"/>
        <v/>
      </c>
      <c r="F5" s="12" t="s">
        <v>41</v>
      </c>
      <c r="G5" s="12" t="s">
        <v>41</v>
      </c>
    </row>
    <row r="6" spans="1:7" x14ac:dyDescent="0.25">
      <c r="A6" s="12" t="s">
        <v>42</v>
      </c>
      <c r="B6" s="13">
        <f>SUMIFS(Semanas!$E$2:$E$42,Semanas!$B$2:$B$42,"Antes")</f>
        <v>0</v>
      </c>
      <c r="C6" s="13">
        <f>SUMIFS(Semanas!$E$2:$E$42,Semanas!$B$2:$B$42,"Depois")</f>
        <v>0</v>
      </c>
      <c r="D6" s="13">
        <f t="shared" si="0"/>
        <v>0</v>
      </c>
      <c r="E6" s="14" t="str">
        <f t="shared" si="1"/>
        <v/>
      </c>
      <c r="F6" s="12" t="s">
        <v>43</v>
      </c>
      <c r="G6" s="12" t="str">
        <f>IF(ISNUMBER(D6),IF(D6&lt;0,"sim",IF(D6=0,"igual","não")),"")</f>
        <v>igual</v>
      </c>
    </row>
    <row r="7" spans="1:7" x14ac:dyDescent="0.25">
      <c r="A7" s="12" t="s">
        <v>44</v>
      </c>
      <c r="B7" s="10" t="str">
        <f>IF(SUMIFS(Semanas!$D$2:$D$42,Semanas!$B$2:$B$42,"Antes")&gt;0,SUMIFS(Semanas!$E$2:$E$42,Semanas!$B$2:$B$42,"Antes")/SUMIFS(Semanas!$D$2:$D$42,Semanas!$B$2:$B$42,"Antes")*100,"")</f>
        <v/>
      </c>
      <c r="C7" s="10" t="str">
        <f>IF(SUMIFS(Semanas!$D$2:$D$42,Semanas!$B$2:$B$42,"Depois")&gt;0,SUMIFS(Semanas!$E$2:$E$42,Semanas!$B$2:$B$42,"Depois")/SUMIFS(Semanas!$D$2:$D$42,Semanas!$B$2:$B$42,"Depois")*100,"")</f>
        <v/>
      </c>
      <c r="D7" s="10" t="str">
        <f t="shared" si="0"/>
        <v/>
      </c>
      <c r="E7" s="14" t="str">
        <f t="shared" si="1"/>
        <v/>
      </c>
      <c r="F7" s="12" t="s">
        <v>43</v>
      </c>
      <c r="G7" s="12" t="str">
        <f>IF(ISNUMBER(D7),IF(D7&lt;0,"sim",IF(D7=0,"igual","não")),"")</f>
        <v/>
      </c>
    </row>
    <row r="8" spans="1:7" x14ac:dyDescent="0.25">
      <c r="A8" s="12" t="s">
        <v>45</v>
      </c>
      <c r="B8" s="14" t="str">
        <f>IF(SUMIFS(Semanas!$D$2:$D$42,Semanas!$B$2:$B$42,"Antes")&gt;0,SUMPRODUCT((Semanas!$B$2:$B$42="Antes")*Semanas!$H$2:$H$42*Semanas!$D$2:$D$42)/SUMIFS(Semanas!$D$2:$D$42,Semanas!$B$2:$B$42,"Antes"),"")</f>
        <v/>
      </c>
      <c r="C8" s="14" t="str">
        <f>IF(SUMIFS(Semanas!$D$2:$D$42,Semanas!$B$2:$B$42,"Depois")&gt;0,SUMPRODUCT((Semanas!$B$2:$B$42="Depois")*Semanas!$H$2:$H$42*Semanas!$D$2:$D$42)/SUMIFS(Semanas!$D$2:$D$42,Semanas!$B$2:$B$42,"Depois"),"")</f>
        <v/>
      </c>
      <c r="D8" s="14" t="str">
        <f t="shared" si="0"/>
        <v/>
      </c>
      <c r="E8" s="14" t="str">
        <f t="shared" si="1"/>
        <v/>
      </c>
      <c r="F8" s="12" t="s">
        <v>46</v>
      </c>
      <c r="G8" s="12" t="str">
        <f>IF(ISNUMBER(D8),IF(D8&gt;0,"sim",IF(D8=0,"igual","não")),"")</f>
        <v/>
      </c>
    </row>
    <row r="9" spans="1:7" x14ac:dyDescent="0.25">
      <c r="A9" s="12" t="s">
        <v>47</v>
      </c>
      <c r="B9" s="14" t="str">
        <f>IF(SUMIFS(Semanas!$D$2:$D$42,Semanas!$B$2:$B$42,"Antes")&gt;0,SUMPRODUCT((Semanas!$B$2:$B$42="Antes")*Semanas!$I$2:$I$42*Semanas!$D$2:$D$42)/SUMIFS(Semanas!$D$2:$D$42,Semanas!$B$2:$B$42,"Antes"),"")</f>
        <v/>
      </c>
      <c r="C9" s="14" t="str">
        <f>IF(SUMIFS(Semanas!$D$2:$D$42,Semanas!$B$2:$B$42,"Depois")&gt;0,SUMPRODUCT((Semanas!$B$2:$B$42="Depois")*Semanas!$I$2:$I$42*Semanas!$D$2:$D$42)/SUMIFS(Semanas!$D$2:$D$42,Semanas!$B$2:$B$42,"Depois"),"")</f>
        <v/>
      </c>
      <c r="D9" s="14" t="str">
        <f t="shared" si="0"/>
        <v/>
      </c>
      <c r="E9" s="14" t="str">
        <f t="shared" si="1"/>
        <v/>
      </c>
      <c r="F9" s="12" t="s">
        <v>43</v>
      </c>
      <c r="G9" s="12" t="str">
        <f>IF(ISNUMBER(D9),IF(D9&lt;0,"sim",IF(D9=0,"igual","não")),"")</f>
        <v/>
      </c>
    </row>
    <row r="10" spans="1:7" x14ac:dyDescent="0.25">
      <c r="A10" s="12" t="s">
        <v>48</v>
      </c>
      <c r="B10" s="13">
        <f>SUMIFS(Semanas!$J$2:$J$42,Semanas!$B$2:$B$42,"Antes")</f>
        <v>0</v>
      </c>
      <c r="C10" s="13">
        <f>SUMIFS(Semanas!$J$2:$J$42,Semanas!$B$2:$B$42,"Depois")</f>
        <v>0</v>
      </c>
      <c r="D10" s="13">
        <f t="shared" si="0"/>
        <v>0</v>
      </c>
      <c r="E10" s="14" t="str">
        <f t="shared" si="1"/>
        <v/>
      </c>
      <c r="F10" s="12" t="s">
        <v>43</v>
      </c>
      <c r="G10" s="12" t="str">
        <f>IF(ISNUMBER(D10),IF(D10&lt;0,"sim",IF(D10=0,"igual","não")),"")</f>
        <v>igual</v>
      </c>
    </row>
    <row r="11" spans="1:7" x14ac:dyDescent="0.25">
      <c r="A11" s="12" t="s">
        <v>21</v>
      </c>
      <c r="B11" s="13">
        <f>SUMIFS(Semanas!$F$2:$F$42,Semanas!$B$2:$B$42,"Antes")</f>
        <v>0</v>
      </c>
      <c r="C11" s="13">
        <f>SUMIFS(Semanas!$F$2:$F$42,Semanas!$B$2:$B$42,"Depois")</f>
        <v>0</v>
      </c>
      <c r="D11" s="13">
        <f t="shared" si="0"/>
        <v>0</v>
      </c>
      <c r="E11" s="14" t="str">
        <f t="shared" si="1"/>
        <v/>
      </c>
      <c r="F11" s="12" t="s">
        <v>41</v>
      </c>
      <c r="G11" s="12" t="s">
        <v>41</v>
      </c>
    </row>
    <row r="12" spans="1:7" x14ac:dyDescent="0.25">
      <c r="A12" s="12" t="s">
        <v>22</v>
      </c>
      <c r="B12" s="13">
        <f>SUMIFS(Semanas!$G$2:$G$42,Semanas!$B$2:$B$42,"Antes")</f>
        <v>0</v>
      </c>
      <c r="C12" s="13">
        <f>SUMIFS(Semanas!$G$2:$G$42,Semanas!$B$2:$B$42,"Depois")</f>
        <v>0</v>
      </c>
      <c r="D12" s="13">
        <f t="shared" si="0"/>
        <v>0</v>
      </c>
      <c r="E12" s="14" t="str">
        <f t="shared" si="1"/>
        <v/>
      </c>
      <c r="F12" s="12" t="s">
        <v>43</v>
      </c>
      <c r="G12" s="12" t="str">
        <f>IF(ISNUMBER(D12),IF(D12&lt;0,"sim",IF(D12=0,"igual","não")),"")</f>
        <v>igual</v>
      </c>
    </row>
    <row r="13" spans="1:7" x14ac:dyDescent="0.25">
      <c r="A13" s="12" t="s">
        <v>49</v>
      </c>
      <c r="B13" s="14" t="str">
        <f>IF((SUMIFS(Semanas!$F$2:$F$42,Semanas!$B$2:$B$42,"Antes")+SUMIFS(Semanas!$G$2:$G$42,Semanas!$B$2:$B$42,"Antes"))&gt;0,SUMIFS(Semanas!$F$2:$F$42,Semanas!$B$2:$B$42,"Antes")/(SUMIFS(Semanas!$F$2:$F$42,Semanas!$B$2:$B$42,"Antes")+SUMIFS(Semanas!$G$2:$G$42,Semanas!$B$2:$B$42,"Antes")),"")</f>
        <v/>
      </c>
      <c r="C13" s="14" t="str">
        <f>IF((SUMIFS(Semanas!$F$2:$F$42,Semanas!$B$2:$B$42,"Depois")+SUMIFS(Semanas!$G$2:$G$42,Semanas!$B$2:$B$42,"Depois"))&gt;0,SUMIFS(Semanas!$F$2:$F$42,Semanas!$B$2:$B$42,"Depois")/(SUMIFS(Semanas!$F$2:$F$42,Semanas!$B$2:$B$42,"Depois")+SUMIFS(Semanas!$G$2:$G$42,Semanas!$B$2:$B$42,"Depois")),"")</f>
        <v/>
      </c>
      <c r="D13" s="14" t="str">
        <f t="shared" si="0"/>
        <v/>
      </c>
      <c r="E13" s="14" t="str">
        <f t="shared" si="1"/>
        <v/>
      </c>
      <c r="F13" s="12" t="s">
        <v>46</v>
      </c>
      <c r="G13" s="12" t="str">
        <f>IF(ISNUMBER(D13),IF(D13&gt;0,"sim",IF(D13=0,"igual","não")),"")</f>
        <v/>
      </c>
    </row>
    <row r="14" spans="1:7" x14ac:dyDescent="0.25">
      <c r="A14" s="12" t="s">
        <v>50</v>
      </c>
      <c r="B14" s="14" t="str">
        <f>IF(SUMIFS(Semanas!$K$2:$K$42,Semanas!$B$2:$B$42,"Antes")&gt;0,SUMIFS(Semanas!$L$2:$L$42,Semanas!$B$2:$B$42,"Antes")/SUMIFS(Semanas!$K$2:$K$42,Semanas!$B$2:$B$42,"Antes"),"")</f>
        <v/>
      </c>
      <c r="C14" s="14" t="str">
        <f>IF(SUMIFS(Semanas!$K$2:$K$42,Semanas!$B$2:$B$42,"Depois")&gt;0,SUMIFS(Semanas!$L$2:$L$42,Semanas!$B$2:$B$42,"Depois")/SUMIFS(Semanas!$K$2:$K$42,Semanas!$B$2:$B$42,"Depois"),"")</f>
        <v/>
      </c>
      <c r="D14" s="14" t="str">
        <f t="shared" si="0"/>
        <v/>
      </c>
      <c r="E14" s="14" t="str">
        <f t="shared" si="1"/>
        <v/>
      </c>
      <c r="F14" s="12" t="s">
        <v>43</v>
      </c>
      <c r="G14" s="12" t="str">
        <f>IF(ISNUMBER(D14),IF(D14&lt;0,"sim",IF(D14=0,"igual","não")),"")</f>
        <v/>
      </c>
    </row>
    <row r="16" spans="1:7" x14ac:dyDescent="0.25">
      <c r="A16" s="15" t="s">
        <v>51</v>
      </c>
    </row>
    <row r="17" spans="1:1" x14ac:dyDescent="0.25">
      <c r="A17" s="15" t="s">
        <v>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sheetViews>
  <sheetFormatPr defaultRowHeight="15" x14ac:dyDescent="0.25"/>
  <cols>
    <col min="1" max="1" width="52" customWidth="1"/>
    <col min="2" max="5" width="13" customWidth="1"/>
  </cols>
  <sheetData>
    <row r="1" spans="1:5" ht="16.5" x14ac:dyDescent="0.25">
      <c r="A1" s="1" t="s">
        <v>53</v>
      </c>
    </row>
    <row r="2" spans="1:5" x14ac:dyDescent="0.25">
      <c r="A2" s="15" t="s">
        <v>54</v>
      </c>
    </row>
    <row r="4" spans="1:5" x14ac:dyDescent="0.25">
      <c r="A4" s="11" t="s">
        <v>55</v>
      </c>
      <c r="B4" s="11" t="s">
        <v>56</v>
      </c>
      <c r="C4" s="11" t="s">
        <v>57</v>
      </c>
      <c r="D4" s="11" t="s">
        <v>58</v>
      </c>
      <c r="E4" s="11" t="s">
        <v>59</v>
      </c>
    </row>
    <row r="5" spans="1:5" x14ac:dyDescent="0.25">
      <c r="A5" s="12" t="s">
        <v>60</v>
      </c>
      <c r="B5" s="16">
        <v>0.6</v>
      </c>
      <c r="C5" s="12" t="s">
        <v>41</v>
      </c>
      <c r="D5" s="12" t="s">
        <v>41</v>
      </c>
      <c r="E5" s="17">
        <v>0.94499999999999995</v>
      </c>
    </row>
    <row r="6" spans="1:5" x14ac:dyDescent="0.25">
      <c r="A6" s="12" t="s">
        <v>61</v>
      </c>
      <c r="B6" s="16">
        <v>0.7</v>
      </c>
      <c r="C6" s="16">
        <v>0.81818181818181823</v>
      </c>
      <c r="D6" s="16">
        <v>0.81818181818181823</v>
      </c>
      <c r="E6" s="16">
        <v>0.81818181818181823</v>
      </c>
    </row>
    <row r="7" spans="1:5" x14ac:dyDescent="0.25">
      <c r="A7" s="12" t="s">
        <v>62</v>
      </c>
      <c r="B7" s="16">
        <v>0.3</v>
      </c>
      <c r="C7" s="12" t="s">
        <v>41</v>
      </c>
      <c r="D7" s="12" t="s">
        <v>41</v>
      </c>
      <c r="E7" s="16">
        <v>0</v>
      </c>
    </row>
    <row r="8" spans="1:5" x14ac:dyDescent="0.25">
      <c r="A8" s="12" t="s">
        <v>63</v>
      </c>
      <c r="B8" s="12" t="s">
        <v>41</v>
      </c>
      <c r="C8" s="16">
        <v>0</v>
      </c>
      <c r="D8" s="16">
        <v>0</v>
      </c>
      <c r="E8" s="16">
        <v>0</v>
      </c>
    </row>
    <row r="9" spans="1:5" x14ac:dyDescent="0.25">
      <c r="A9" s="12" t="s">
        <v>64</v>
      </c>
      <c r="B9" s="12" t="s">
        <v>41</v>
      </c>
      <c r="C9" s="16">
        <v>0.14000000000000001</v>
      </c>
      <c r="D9" s="16">
        <v>0.26</v>
      </c>
      <c r="E9" s="16">
        <v>0.19</v>
      </c>
    </row>
    <row r="10" spans="1:5" x14ac:dyDescent="0.25">
      <c r="A10" s="12" t="s">
        <v>65</v>
      </c>
      <c r="B10" s="12" t="s">
        <v>41</v>
      </c>
      <c r="C10" s="14">
        <v>8.9999999999999993E-3</v>
      </c>
      <c r="D10" s="14">
        <v>7.2999999999999995E-2</v>
      </c>
      <c r="E10" s="14">
        <v>1.2999999999999999E-2</v>
      </c>
    </row>
    <row r="11" spans="1:5" x14ac:dyDescent="0.25">
      <c r="A11" s="12" t="s">
        <v>66</v>
      </c>
      <c r="B11" s="10">
        <v>5</v>
      </c>
      <c r="C11" s="12" t="s">
        <v>41</v>
      </c>
      <c r="D11" s="12" t="s">
        <v>41</v>
      </c>
      <c r="E11" s="10">
        <v>12.5</v>
      </c>
    </row>
    <row r="13" spans="1:5" x14ac:dyDescent="0.25">
      <c r="A13" s="15" t="s">
        <v>67</v>
      </c>
    </row>
    <row r="14" spans="1:5" x14ac:dyDescent="0.25">
      <c r="A14" s="15"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Como preencher</vt:lpstr>
      <vt:lpstr>Semanas</vt:lpstr>
      <vt:lpstr>Antes x Depois</vt:lpstr>
      <vt:lpstr>Modelo (Fase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Matte</cp:lastModifiedBy>
  <dcterms:created xsi:type="dcterms:W3CDTF">2026-10-16T02:34:01Z</dcterms:created>
  <dcterms:modified xsi:type="dcterms:W3CDTF">2026-10-16T02:34:18Z</dcterms:modified>
</cp:coreProperties>
</file>