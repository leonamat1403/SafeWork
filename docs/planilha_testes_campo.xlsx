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struções" sheetId="1" state="visible" r:id="rId1"/>
    <sheet name="Cenários" sheetId="2" state="visible" r:id="rId2"/>
    <sheet name="Testes" sheetId="3" state="visible" r:id="rId3"/>
    <sheet name="Ocorrências" sheetId="4" state="visible" r:id="rId4"/>
    <sheet name="Fontes" sheetId="5" state="visible" r:id="rId5"/>
    <sheet name="Métr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C00000"/>
      <sz val="10"/>
    </font>
    <font>
      <name val="Arial"/>
      <b val="1"/>
      <color rgb="00000000"/>
      <sz val="13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165" fontId="3" fillId="4" borderId="1" pivotButton="0" quotePrefix="0" xfId="0"/>
    <xf numFmtId="164" fontId="3" fillId="4" borderId="1" pivotButton="0" quotePrefix="0" xfId="0"/>
    <xf numFmtId="0" fontId="7" fillId="0" borderId="0" pivotButton="0" quotePrefix="0" xfId="0"/>
    <xf numFmtId="1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164" fontId="3" fillId="0" borderId="1" pivotButton="0" quotePrefix="0" xfId="0"/>
    <xf numFmtId="0" fontId="3" fillId="5" borderId="1" pivotButton="0" quotePrefix="0" xfId="0"/>
    <xf numFmtId="16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projeto</author>
  </authors>
  <commentList>
    <comment ref="A1" authorId="0" shapeId="0">
      <text>
        <t>Identificador do teste, ex.: T01.
(Preenchido por: voce)</t>
      </text>
    </comment>
    <comment ref="B1" authorId="0" shapeId="0">
      <text>
        <t>Caminho do vídeo a partir da pasta do projeto, ex.: testes_campo/c01_sem_mascara_2m.mp4
(Preenchido por: voce)</t>
      </text>
    </comment>
    <comment ref="C1" authorId="0" shapeId="0">
      <text>
        <t>Opcional: segundo do vídeo em que o trecho começa (vazio = início).
(Preenchido por: voce)</t>
      </text>
    </comment>
    <comment ref="D1" authorId="0" shapeId="0">
      <text>
        <t>Opcional: segundo do vídeo em que o trecho termina (vazio = até o fim).
(Preenchido por: voce)</t>
      </text>
    </comment>
    <comment ref="E1" authorId="0" shapeId="0">
      <text>
        <t>Código do cenário da aba Cenários (ex.: C01).
(Preenchido por: voce)</t>
      </text>
    </comment>
    <comment ref="F1" authorId="0" shapeId="0">
      <text>
        <t>O que REALMENTE acontece no trecho: sem_mascara, mascara_levantada, mascara_abaixada, pausa_curta (tira/levanta a máscara por menos de 4 s) ou misto (vai para revisão manual).
(Preenchido por: voce)</t>
      </text>
    </comment>
    <comment ref="G1" authorId="0" shapeId="0">
      <text>
        <t>frente, perfil, costas ou varia.
(Preenchido por: voce)</t>
      </text>
    </comment>
    <comment ref="H1" authorId="0" shapeId="0">
      <text>
        <t>Distância aproximada da câmera, em metros.
(Preenchido por: voce)</t>
      </text>
    </comment>
    <comment ref="I1" authorId="0" shapeId="0">
      <text>
        <t>apagado ou aceso.
(Preenchido por: voce)</t>
      </text>
    </comment>
    <comment ref="J1" authorId="0" shapeId="0">
      <text>
        <t>nao ou sim.
(Preenchido por: voce)</t>
      </text>
    </comment>
    <comment ref="K1" authorId="0" shapeId="0">
      <text>
        <t>Quantas pessoas aparecem.
(Preenchido por: voce)</t>
      </text>
    </comment>
    <comment ref="L1" authorId="0" shapeId="0">
      <text>
        <t>webcam, celular, internet, laboratorio ou marcopolo.
(Preenchido por: voce)</t>
      </text>
    </comment>
    <comment ref="M1" authorId="0" shapeId="0">
      <text>
        <t>Livre.
(Preenchido por: voce)</t>
      </text>
    </comment>
    <comment ref="N1" authorId="0" shapeId="0">
      <text>
        <t>Calculado a partir de situacao_real e angulo: 'ocorrência' ou 'sem ocorrência'.
(Preenchido por: formula)</t>
      </text>
    </comment>
    <comment ref="O1" authorId="0" shapeId="0">
      <text>
        <t>Frames processados no trecho.
(Preenchido por: script)</t>
      </text>
    </comment>
    <comment ref="P1" authorId="0" shapeId="0">
      <text>
        <t>FPS do processamento completo (pose + máscara + regras) neste computador.
(Preenchido por: script)</t>
      </text>
    </comment>
    <comment ref="Q1" authorId="0" shapeId="0">
      <text>
        <t>Fração dos frames (pessoa x frame) em CONFORME.
(Preenchido por: script)</t>
      </text>
    </comment>
    <comment ref="R1" authorId="0" shapeId="0">
      <text>
        <t>Fração dos frames (pessoa x frame) em NÃO CONFORME.
(Preenchido por: script)</t>
      </text>
    </comment>
    <comment ref="S1" authorId="0" shapeId="0">
      <text>
        <t>Fração dos frames (pessoa x frame) em INDETERMINADO.
(Preenchido por: script)</t>
      </text>
    </comment>
    <comment ref="T1" authorId="0" shapeId="0">
      <text>
        <t>Frames ignorados pelo filtro do arco.
(Preenchido por: script)</t>
      </text>
    </comment>
    <comment ref="U1" authorId="0" shapeId="0">
      <text>
        <t>Ocorrências registradas no trecho.
(Preenchido por: script)</t>
      </text>
    </comment>
    <comment ref="V1" authorId="0" shapeId="0">
      <text>
        <t>OK se o sistema fez o esperado (ocorrência quando devia, nenhuma quando não devia).
(Preenchido por: formula)</t>
      </text>
    </comment>
    <comment ref="W1" authorId="0" shapeId="0">
      <text>
        <t>Data e hora da avaliação.
(Preenchido por: script)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Planilha de testes de campo – Verificador de EPIs de Solda (Fase 1, máscara de solda)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Grave os vídeos seguindo a aba Cenários (roteiro completo em docs/roteiro_testes_campo.md). Salve-os em testes_campo/.</t>
        </is>
      </c>
    </row>
    <row r="5">
      <c r="A5" s="2" t="inlineStr">
        <is>
          <t>2. Na aba Testes, preencha uma linha por vídeo (ou por trecho de vídeo) nas colunas AMARELAS. A coluna situacao_real é a mais importante: é o que REALMENTE acontece no trecho.</t>
        </is>
      </c>
    </row>
    <row r="6">
      <c r="A6" s="2" t="inlineStr">
        <is>
          <t>3. Feche esta planilha no Excel e rode:  python ferramentas/avaliar_testes.py</t>
        </is>
      </c>
    </row>
    <row r="7">
      <c r="A7" s="2" t="inlineStr">
        <is>
          <t xml:space="preserve">   O script processa cada linha nova e preenche as colunas CINZAS e a aba Ocorrências.</t>
        </is>
      </c>
    </row>
    <row r="8">
      <c r="A8" s="2" t="inlineStr">
        <is>
          <t>4. Abra a planilha de novo. Na aba Ocorrências, confira cada ocorrência no vídeo e, se a classificação automática estiver errada, escreva VP ou FP na coluna revisao_manual.</t>
        </is>
      </c>
    </row>
    <row r="9">
      <c r="A9" s="2" t="inlineStr">
        <is>
          <t>5. A aba Métricas mostra o resultado contra as METAS DE VALIDAÇÃO. Ela vai para o relatório da Etapa 1.6.</t>
        </is>
      </c>
    </row>
    <row r="10">
      <c r="A10" s="2" t="inlineStr"/>
    </row>
    <row r="11">
      <c r="A11" s="3" t="inlineStr">
        <is>
          <t>CORES</t>
        </is>
      </c>
    </row>
    <row r="12">
      <c r="A12" s="2" t="inlineStr">
        <is>
          <t>Amarelo = você preenche.   Cinza = o script preenche.   Branco com fórmula = calculado (não editar).</t>
        </is>
      </c>
    </row>
    <row r="13">
      <c r="A13" s="2" t="inlineStr">
        <is>
          <t>A linha T01 é um EXEMPLO real (vídeo da webcam de 12/10/2026). Pode mantê-la ou apagá-la.</t>
        </is>
      </c>
    </row>
    <row r="14">
      <c r="A14" s="2" t="inlineStr"/>
    </row>
    <row r="15">
      <c r="A15" s="3" t="inlineStr">
        <is>
          <t>REGRAS DO SISTEMA (config.yaml)</t>
        </is>
      </c>
    </row>
    <row r="16">
      <c r="A16" s="2" t="inlineStr">
        <is>
          <t>Ocorrência: sem máscara ou máscara levantada em pelo menos 75% dos frames de 4 segundos. Mesma pessoa: nova ocorrência só depois de 60 s.</t>
        </is>
      </c>
    </row>
    <row r="17">
      <c r="A17" s="2" t="inlineStr">
        <is>
          <t>De costas ou com o rosto não visível, o sistema fica AMARELO (INDETERMINADO) e nunca registra ocorrência: por isso o esperado para 'costas' é 'sem ocorrência'.</t>
        </is>
      </c>
    </row>
    <row r="18">
      <c r="A18" s="2" t="inlineStr"/>
    </row>
    <row r="19">
      <c r="A19" s="3" t="inlineStr">
        <is>
          <t>SEGURANÇA E PRIVACIDADE</t>
        </is>
      </c>
    </row>
    <row r="20">
      <c r="A20" s="2" t="inlineStr">
        <is>
          <t>Nunca peça para alguém soldar sem máscara para gerar um teste: cenários com arco aceso e sem máscara só com vídeos já existentes (internet).</t>
        </is>
      </c>
    </row>
    <row r="21">
      <c r="A21" s="2" t="inlineStr">
        <is>
          <t>Grave só pessoas que autorizaram. Os vídeos ficam em testes_campo/ (fora do git). No relatório, use números e imagens com rostos borrados.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  <col width="9" customWidth="1" min="4" max="4"/>
    <col width="11" customWidth="1" min="5" max="5"/>
    <col width="9" customWidth="1" min="6" max="6"/>
    <col width="7" customWidth="1" min="7" max="7"/>
    <col width="15" customWidth="1" min="8" max="8"/>
    <col width="30" customWidth="1" min="9" max="9"/>
    <col width="10" customWidth="1" min="10" max="10"/>
    <col width="12" customWidth="1" min="11" max="11"/>
  </cols>
  <sheetData>
    <row r="1">
      <c r="A1" s="4" t="inlineStr">
        <is>
          <t>ID</t>
        </is>
      </c>
      <c r="B1" s="4" t="inlineStr">
        <is>
          <t>descricao</t>
        </is>
      </c>
      <c r="C1" s="4" t="inlineStr">
        <is>
          <t>situacao_real</t>
        </is>
      </c>
      <c r="D1" s="4" t="inlineStr">
        <is>
          <t>angulo</t>
        </is>
      </c>
      <c r="E1" s="4" t="inlineStr">
        <is>
          <t>distancia_m</t>
        </is>
      </c>
      <c r="F1" s="4" t="inlineStr">
        <is>
          <t>arco</t>
        </is>
      </c>
      <c r="G1" s="4" t="inlineStr">
        <is>
          <t>fumos</t>
        </is>
      </c>
      <c r="H1" s="4" t="inlineStr">
        <is>
          <t>esperado</t>
        </is>
      </c>
      <c r="I1" s="4" t="inlineStr">
        <is>
          <t>recurso_necessario</t>
        </is>
      </c>
      <c r="J1" s="4" t="inlineStr">
        <is>
          <t>prioridade</t>
        </is>
      </c>
      <c r="K1" s="4" t="inlineStr">
        <is>
          <t>testes_feitos</t>
        </is>
      </c>
    </row>
    <row r="2">
      <c r="A2" s="5" t="inlineStr">
        <is>
          <t>C01</t>
        </is>
      </c>
      <c r="B2" s="5" t="inlineStr">
        <is>
          <t>Sem máscara, de frente para a câmera</t>
        </is>
      </c>
      <c r="C2" s="5" t="inlineStr">
        <is>
          <t>sem_mascara</t>
        </is>
      </c>
      <c r="D2" s="5" t="inlineStr">
        <is>
          <t>frente</t>
        </is>
      </c>
      <c r="E2" s="5" t="n">
        <v>2</v>
      </c>
      <c r="F2" s="5" t="inlineStr">
        <is>
          <t>apagado</t>
        </is>
      </c>
      <c r="G2" s="5" t="inlineStr">
        <is>
          <t>nao</t>
        </is>
      </c>
      <c r="H2" s="5">
        <f>IF(C2="","",IF(C2="misto","revisão manual",IF(OR(C2="pausa_curta",C2="mascara_abaixada",D2="costas"),"sem ocorrência","ocorrência")))</f>
        <v/>
      </c>
      <c r="I2" s="5" t="inlineStr">
        <is>
          <t>webcam/celular</t>
        </is>
      </c>
      <c r="J2" s="5" t="inlineStr">
        <is>
          <t>alta</t>
        </is>
      </c>
      <c r="K2" s="5">
        <f>COUNTIF(Testes!$E$2:$E$500,A2)</f>
        <v/>
      </c>
    </row>
    <row r="3">
      <c r="A3" s="5" t="inlineStr">
        <is>
          <t>C02</t>
        </is>
      </c>
      <c r="B3" s="5" t="inlineStr">
        <is>
          <t>Sem máscara, de perfil</t>
        </is>
      </c>
      <c r="C3" s="5" t="inlineStr">
        <is>
          <t>sem_mascara</t>
        </is>
      </c>
      <c r="D3" s="5" t="inlineStr">
        <is>
          <t>perfil</t>
        </is>
      </c>
      <c r="E3" s="5" t="n">
        <v>2</v>
      </c>
      <c r="F3" s="5" t="inlineStr">
        <is>
          <t>apagado</t>
        </is>
      </c>
      <c r="G3" s="5" t="inlineStr">
        <is>
          <t>nao</t>
        </is>
      </c>
      <c r="H3" s="5">
        <f>IF(C3="","",IF(C3="misto","revisão manual",IF(OR(C3="pausa_curta",C3="mascara_abaixada",D3="costas"),"sem ocorrência","ocorrência")))</f>
        <v/>
      </c>
      <c r="I3" s="5" t="inlineStr">
        <is>
          <t>webcam/celular</t>
        </is>
      </c>
      <c r="J3" s="5" t="inlineStr">
        <is>
          <t>alta</t>
        </is>
      </c>
      <c r="K3" s="5">
        <f>COUNTIF(Testes!$E$2:$E$500,A3)</f>
        <v/>
      </c>
    </row>
    <row r="4">
      <c r="A4" s="5" t="inlineStr">
        <is>
          <t>C03</t>
        </is>
      </c>
      <c r="B4" s="5" t="inlineStr">
        <is>
          <t>Sem máscara, de costas (o sistema deve ficar AMARELO, sem ocorrência)</t>
        </is>
      </c>
      <c r="C4" s="5" t="inlineStr">
        <is>
          <t>sem_mascara</t>
        </is>
      </c>
      <c r="D4" s="5" t="inlineStr">
        <is>
          <t>costas</t>
        </is>
      </c>
      <c r="E4" s="5" t="n">
        <v>2</v>
      </c>
      <c r="F4" s="5" t="inlineStr">
        <is>
          <t>apagado</t>
        </is>
      </c>
      <c r="G4" s="5" t="inlineStr">
        <is>
          <t>nao</t>
        </is>
      </c>
      <c r="H4" s="5">
        <f>IF(C4="","",IF(C4="misto","revisão manual",IF(OR(C4="pausa_curta",C4="mascara_abaixada",D4="costas"),"sem ocorrência","ocorrência")))</f>
        <v/>
      </c>
      <c r="I4" s="5" t="inlineStr">
        <is>
          <t>webcam/celular</t>
        </is>
      </c>
      <c r="J4" s="5" t="inlineStr">
        <is>
          <t>média</t>
        </is>
      </c>
      <c r="K4" s="5">
        <f>COUNTIF(Testes!$E$2:$E$500,A4)</f>
        <v/>
      </c>
    </row>
    <row r="5">
      <c r="A5" s="5" t="inlineStr">
        <is>
          <t>C04</t>
        </is>
      </c>
      <c r="B5" s="5" t="inlineStr">
        <is>
          <t>Sem máscara, de frente, mais longe</t>
        </is>
      </c>
      <c r="C5" s="5" t="inlineStr">
        <is>
          <t>sem_mascara</t>
        </is>
      </c>
      <c r="D5" s="5" t="inlineStr">
        <is>
          <t>frente</t>
        </is>
      </c>
      <c r="E5" s="5" t="n">
        <v>4</v>
      </c>
      <c r="F5" s="5" t="inlineStr">
        <is>
          <t>apagado</t>
        </is>
      </c>
      <c r="G5" s="5" t="inlineStr">
        <is>
          <t>nao</t>
        </is>
      </c>
      <c r="H5" s="5">
        <f>IF(C5="","",IF(C5="misto","revisão manual",IF(OR(C5="pausa_curta",C5="mascara_abaixada",D5="costas"),"sem ocorrência","ocorrência")))</f>
        <v/>
      </c>
      <c r="I5" s="5" t="inlineStr">
        <is>
          <t>celular</t>
        </is>
      </c>
      <c r="J5" s="5" t="inlineStr">
        <is>
          <t>alta</t>
        </is>
      </c>
      <c r="K5" s="5">
        <f>COUNTIF(Testes!$E$2:$E$500,A5)</f>
        <v/>
      </c>
    </row>
    <row r="6">
      <c r="A6" s="5" t="inlineStr">
        <is>
          <t>C05</t>
        </is>
      </c>
      <c r="B6" s="5" t="inlineStr">
        <is>
          <t>Sem máscara, de frente, longe</t>
        </is>
      </c>
      <c r="C6" s="5" t="inlineStr">
        <is>
          <t>sem_mascara</t>
        </is>
      </c>
      <c r="D6" s="5" t="inlineStr">
        <is>
          <t>frente</t>
        </is>
      </c>
      <c r="E6" s="5" t="n">
        <v>6</v>
      </c>
      <c r="F6" s="5" t="inlineStr">
        <is>
          <t>apagado</t>
        </is>
      </c>
      <c r="G6" s="5" t="inlineStr">
        <is>
          <t>nao</t>
        </is>
      </c>
      <c r="H6" s="5">
        <f>IF(C6="","",IF(C6="misto","revisão manual",IF(OR(C6="pausa_curta",C6="mascara_abaixada",D6="costas"),"sem ocorrência","ocorrência")))</f>
        <v/>
      </c>
      <c r="I6" s="5" t="inlineStr">
        <is>
          <t>celular</t>
        </is>
      </c>
      <c r="J6" s="5" t="inlineStr">
        <is>
          <t>média</t>
        </is>
      </c>
      <c r="K6" s="5">
        <f>COUNTIF(Testes!$E$2:$E$500,A6)</f>
        <v/>
      </c>
    </row>
    <row r="7">
      <c r="A7" s="5" t="inlineStr">
        <is>
          <t>C06</t>
        </is>
      </c>
      <c r="B7" s="5" t="inlineStr">
        <is>
          <t>Sem máscara, mexendo a cabeça (cima, baixo, lados, perfil)</t>
        </is>
      </c>
      <c r="C7" s="5" t="inlineStr">
        <is>
          <t>sem_mascara</t>
        </is>
      </c>
      <c r="D7" s="5" t="inlineStr">
        <is>
          <t>varia</t>
        </is>
      </c>
      <c r="E7" s="5" t="n">
        <v>1</v>
      </c>
      <c r="F7" s="5" t="inlineStr">
        <is>
          <t>apagado</t>
        </is>
      </c>
      <c r="G7" s="5" t="inlineStr">
        <is>
          <t>nao</t>
        </is>
      </c>
      <c r="H7" s="5">
        <f>IF(C7="","",IF(C7="misto","revisão manual",IF(OR(C7="pausa_curta",C7="mascara_abaixada",D7="costas"),"sem ocorrência","ocorrência")))</f>
        <v/>
      </c>
      <c r="I7" s="5" t="inlineStr">
        <is>
          <t>webcam</t>
        </is>
      </c>
      <c r="J7" s="5" t="inlineStr">
        <is>
          <t>alta</t>
        </is>
      </c>
      <c r="K7" s="5">
        <f>COUNTIF(Testes!$E$2:$E$500,A7)</f>
        <v/>
      </c>
    </row>
    <row r="8">
      <c r="A8" s="5" t="inlineStr">
        <is>
          <t>C07</t>
        </is>
      </c>
      <c r="B8" s="5" t="inlineStr">
        <is>
          <t>Sem máscara com luz forte de lado ou contraluz</t>
        </is>
      </c>
      <c r="C8" s="5" t="inlineStr">
        <is>
          <t>sem_mascara</t>
        </is>
      </c>
      <c r="D8" s="5" t="inlineStr">
        <is>
          <t>perfil</t>
        </is>
      </c>
      <c r="E8" s="5" t="n">
        <v>2</v>
      </c>
      <c r="F8" s="5" t="inlineStr">
        <is>
          <t>apagado</t>
        </is>
      </c>
      <c r="G8" s="5" t="inlineStr">
        <is>
          <t>nao</t>
        </is>
      </c>
      <c r="H8" s="5">
        <f>IF(C8="","",IF(C8="misto","revisão manual",IF(OR(C8="pausa_curta",C8="mascara_abaixada",D8="costas"),"sem ocorrência","ocorrência")))</f>
        <v/>
      </c>
      <c r="I8" s="5" t="inlineStr">
        <is>
          <t>webcam/celular</t>
        </is>
      </c>
      <c r="J8" s="5" t="inlineStr">
        <is>
          <t>média</t>
        </is>
      </c>
      <c r="K8" s="5">
        <f>COUNTIF(Testes!$E$2:$E$500,A8)</f>
        <v/>
      </c>
    </row>
    <row r="9">
      <c r="A9" s="5" t="inlineStr">
        <is>
          <t>C08</t>
        </is>
      </c>
      <c r="B9" s="5" t="inlineStr">
        <is>
          <t>Sem máscara de solda, mas de boné ou capacete de segurança</t>
        </is>
      </c>
      <c r="C9" s="5" t="inlineStr">
        <is>
          <t>sem_mascara</t>
        </is>
      </c>
      <c r="D9" s="5" t="inlineStr">
        <is>
          <t>frente</t>
        </is>
      </c>
      <c r="E9" s="5" t="n">
        <v>2</v>
      </c>
      <c r="F9" s="5" t="inlineStr">
        <is>
          <t>apagado</t>
        </is>
      </c>
      <c r="G9" s="5" t="inlineStr">
        <is>
          <t>nao</t>
        </is>
      </c>
      <c r="H9" s="5">
        <f>IF(C9="","",IF(C9="misto","revisão manual",IF(OR(C9="pausa_curta",C9="mascara_abaixada",D9="costas"),"sem ocorrência","ocorrência")))</f>
        <v/>
      </c>
      <c r="I9" s="5" t="inlineStr">
        <is>
          <t>webcam/celular</t>
        </is>
      </c>
      <c r="J9" s="5" t="inlineStr">
        <is>
          <t>média</t>
        </is>
      </c>
      <c r="K9" s="5">
        <f>COUNTIF(Testes!$E$2:$E$500,A9)</f>
        <v/>
      </c>
    </row>
    <row r="10">
      <c r="A10" s="5" t="inlineStr">
        <is>
          <t>C09</t>
        </is>
      </c>
      <c r="B10" s="5" t="inlineStr">
        <is>
          <t>Pessoa passa sem máscara por menos de 4 s</t>
        </is>
      </c>
      <c r="C10" s="5" t="inlineStr">
        <is>
          <t>pausa_curta</t>
        </is>
      </c>
      <c r="D10" s="5" t="inlineStr">
        <is>
          <t>frente</t>
        </is>
      </c>
      <c r="E10" s="5" t="n">
        <v>2</v>
      </c>
      <c r="F10" s="5" t="inlineStr">
        <is>
          <t>apagado</t>
        </is>
      </c>
      <c r="G10" s="5" t="inlineStr">
        <is>
          <t>nao</t>
        </is>
      </c>
      <c r="H10" s="5">
        <f>IF(C10="","",IF(C10="misto","revisão manual",IF(OR(C10="pausa_curta",C10="mascara_abaixada",D10="costas"),"sem ocorrência","ocorrência")))</f>
        <v/>
      </c>
      <c r="I10" s="5" t="inlineStr">
        <is>
          <t>webcam/celular</t>
        </is>
      </c>
      <c r="J10" s="5" t="inlineStr">
        <is>
          <t>média</t>
        </is>
      </c>
      <c r="K10" s="5">
        <f>COUNTIF(Testes!$E$2:$E$500,A10)</f>
        <v/>
      </c>
    </row>
    <row r="11">
      <c r="A11" s="5" t="inlineStr">
        <is>
          <t>C10</t>
        </is>
      </c>
      <c r="B11" s="5" t="inlineStr">
        <is>
          <t>Máscara abaixada, de frente</t>
        </is>
      </c>
      <c r="C11" s="5" t="inlineStr">
        <is>
          <t>mascara_abaixada</t>
        </is>
      </c>
      <c r="D11" s="5" t="inlineStr">
        <is>
          <t>frente</t>
        </is>
      </c>
      <c r="E11" s="5" t="n">
        <v>2</v>
      </c>
      <c r="F11" s="5" t="inlineStr">
        <is>
          <t>apagado</t>
        </is>
      </c>
      <c r="G11" s="5" t="inlineStr">
        <is>
          <t>nao</t>
        </is>
      </c>
      <c r="H11" s="5">
        <f>IF(C11="","",IF(C11="misto","revisão manual",IF(OR(C11="pausa_curta",C11="mascara_abaixada",D11="costas"),"sem ocorrência","ocorrência")))</f>
        <v/>
      </c>
      <c r="I11" s="5" t="inlineStr">
        <is>
          <t>máscara de solda</t>
        </is>
      </c>
      <c r="J11" s="5" t="inlineStr">
        <is>
          <t>alta</t>
        </is>
      </c>
      <c r="K11" s="5">
        <f>COUNTIF(Testes!$E$2:$E$500,A11)</f>
        <v/>
      </c>
    </row>
    <row r="12">
      <c r="A12" s="5" t="inlineStr">
        <is>
          <t>C11</t>
        </is>
      </c>
      <c r="B12" s="5" t="inlineStr">
        <is>
          <t>Máscara abaixada, de perfil</t>
        </is>
      </c>
      <c r="C12" s="5" t="inlineStr">
        <is>
          <t>mascara_abaixada</t>
        </is>
      </c>
      <c r="D12" s="5" t="inlineStr">
        <is>
          <t>perfil</t>
        </is>
      </c>
      <c r="E12" s="5" t="n">
        <v>2</v>
      </c>
      <c r="F12" s="5" t="inlineStr">
        <is>
          <t>apagado</t>
        </is>
      </c>
      <c r="G12" s="5" t="inlineStr">
        <is>
          <t>nao</t>
        </is>
      </c>
      <c r="H12" s="5">
        <f>IF(C12="","",IF(C12="misto","revisão manual",IF(OR(C12="pausa_curta",C12="mascara_abaixada",D12="costas"),"sem ocorrência","ocorrência")))</f>
        <v/>
      </c>
      <c r="I12" s="5" t="inlineStr">
        <is>
          <t>máscara de solda</t>
        </is>
      </c>
      <c r="J12" s="5" t="inlineStr">
        <is>
          <t>alta</t>
        </is>
      </c>
      <c r="K12" s="5">
        <f>COUNTIF(Testes!$E$2:$E$500,A12)</f>
        <v/>
      </c>
    </row>
    <row r="13">
      <c r="A13" s="5" t="inlineStr">
        <is>
          <t>C12</t>
        </is>
      </c>
      <c r="B13" s="5" t="inlineStr">
        <is>
          <t>Máscara abaixada, de costas</t>
        </is>
      </c>
      <c r="C13" s="5" t="inlineStr">
        <is>
          <t>mascara_abaixada</t>
        </is>
      </c>
      <c r="D13" s="5" t="inlineStr">
        <is>
          <t>costas</t>
        </is>
      </c>
      <c r="E13" s="5" t="n">
        <v>2</v>
      </c>
      <c r="F13" s="5" t="inlineStr">
        <is>
          <t>apagado</t>
        </is>
      </c>
      <c r="G13" s="5" t="inlineStr">
        <is>
          <t>nao</t>
        </is>
      </c>
      <c r="H13" s="5">
        <f>IF(C13="","",IF(C13="misto","revisão manual",IF(OR(C13="pausa_curta",C13="mascara_abaixada",D13="costas"),"sem ocorrência","ocorrência")))</f>
        <v/>
      </c>
      <c r="I13" s="5" t="inlineStr">
        <is>
          <t>máscara de solda</t>
        </is>
      </c>
      <c r="J13" s="5" t="inlineStr">
        <is>
          <t>média</t>
        </is>
      </c>
      <c r="K13" s="5">
        <f>COUNTIF(Testes!$E$2:$E$500,A13)</f>
        <v/>
      </c>
    </row>
    <row r="14">
      <c r="A14" s="5" t="inlineStr">
        <is>
          <t>C13</t>
        </is>
      </c>
      <c r="B14" s="5" t="inlineStr">
        <is>
          <t>Máscara abaixada, a 4 m e a 6 m</t>
        </is>
      </c>
      <c r="C14" s="5" t="inlineStr">
        <is>
          <t>mascara_abaixada</t>
        </is>
      </c>
      <c r="D14" s="5" t="inlineStr">
        <is>
          <t>frente</t>
        </is>
      </c>
      <c r="E14" s="5" t="n">
        <v>4</v>
      </c>
      <c r="F14" s="5" t="inlineStr">
        <is>
          <t>apagado</t>
        </is>
      </c>
      <c r="G14" s="5" t="inlineStr">
        <is>
          <t>nao</t>
        </is>
      </c>
      <c r="H14" s="5">
        <f>IF(C14="","",IF(C14="misto","revisão manual",IF(OR(C14="pausa_curta",C14="mascara_abaixada",D14="costas"),"sem ocorrência","ocorrência")))</f>
        <v/>
      </c>
      <c r="I14" s="5" t="inlineStr">
        <is>
          <t>máscara de solda</t>
        </is>
      </c>
      <c r="J14" s="5" t="inlineStr">
        <is>
          <t>média</t>
        </is>
      </c>
      <c r="K14" s="5">
        <f>COUNTIF(Testes!$E$2:$E$500,A14)</f>
        <v/>
      </c>
    </row>
    <row r="15">
      <c r="A15" s="5" t="inlineStr">
        <is>
          <t>C14</t>
        </is>
      </c>
      <c r="B15" s="5" t="inlineStr">
        <is>
          <t>Máscara levantada (sobre a cabeça) por mais de 4 s</t>
        </is>
      </c>
      <c r="C15" s="5" t="inlineStr">
        <is>
          <t>mascara_levantada</t>
        </is>
      </c>
      <c r="D15" s="5" t="inlineStr">
        <is>
          <t>frente</t>
        </is>
      </c>
      <c r="E15" s="5" t="n">
        <v>2</v>
      </c>
      <c r="F15" s="5" t="inlineStr">
        <is>
          <t>apagado</t>
        </is>
      </c>
      <c r="G15" s="5" t="inlineStr">
        <is>
          <t>nao</t>
        </is>
      </c>
      <c r="H15" s="5">
        <f>IF(C15="","",IF(C15="misto","revisão manual",IF(OR(C15="pausa_curta",C15="mascara_abaixada",D15="costas"),"sem ocorrência","ocorrência")))</f>
        <v/>
      </c>
      <c r="I15" s="5" t="inlineStr">
        <is>
          <t>máscara de solda</t>
        </is>
      </c>
      <c r="J15" s="5" t="inlineStr">
        <is>
          <t>alta</t>
        </is>
      </c>
      <c r="K15" s="5">
        <f>COUNTIF(Testes!$E$2:$E$500,A15)</f>
        <v/>
      </c>
    </row>
    <row r="16">
      <c r="A16" s="5" t="inlineStr">
        <is>
          <t>C15</t>
        </is>
      </c>
      <c r="B16" s="5" t="inlineStr">
        <is>
          <t>Levanta a máscara por ~2 s para olhar o cordão e abaixa</t>
        </is>
      </c>
      <c r="C16" s="5" t="inlineStr">
        <is>
          <t>pausa_curta</t>
        </is>
      </c>
      <c r="D16" s="5" t="inlineStr">
        <is>
          <t>frente</t>
        </is>
      </c>
      <c r="E16" s="5" t="n">
        <v>2</v>
      </c>
      <c r="F16" s="5" t="inlineStr">
        <is>
          <t>apagado</t>
        </is>
      </c>
      <c r="G16" s="5" t="inlineStr">
        <is>
          <t>nao</t>
        </is>
      </c>
      <c r="H16" s="5">
        <f>IF(C16="","",IF(C16="misto","revisão manual",IF(OR(C16="pausa_curta",C16="mascara_abaixada",D16="costas"),"sem ocorrência","ocorrência")))</f>
        <v/>
      </c>
      <c r="I16" s="5" t="inlineStr">
        <is>
          <t>máscara de solda</t>
        </is>
      </c>
      <c r="J16" s="5" t="inlineStr">
        <is>
          <t>alta</t>
        </is>
      </c>
      <c r="K16" s="5">
        <f>COUNTIF(Testes!$E$2:$E$500,A16)</f>
        <v/>
      </c>
    </row>
    <row r="17">
      <c r="A17" s="5" t="inlineStr">
        <is>
          <t>C16</t>
        </is>
      </c>
      <c r="B17" s="5" t="inlineStr">
        <is>
          <t>Soldando com máscara abaixada e ARCO ACESO</t>
        </is>
      </c>
      <c r="C17" s="5" t="inlineStr">
        <is>
          <t>mascara_abaixada</t>
        </is>
      </c>
      <c r="D17" s="5" t="inlineStr">
        <is>
          <t>frente</t>
        </is>
      </c>
      <c r="E17" s="5" t="n">
        <v>2</v>
      </c>
      <c r="F17" s="5" t="inlineStr">
        <is>
          <t>aceso</t>
        </is>
      </c>
      <c r="G17" s="5" t="inlineStr">
        <is>
          <t>nao</t>
        </is>
      </c>
      <c r="H17" s="5">
        <f>IF(C17="","",IF(C17="misto","revisão manual",IF(OR(C17="pausa_curta",C17="mascara_abaixada",D17="costas"),"sem ocorrência","ocorrência")))</f>
        <v/>
      </c>
      <c r="I17" s="5" t="inlineStr">
        <is>
          <t>laboratório, Marcopolo ou internet</t>
        </is>
      </c>
      <c r="J17" s="5" t="inlineStr">
        <is>
          <t>alta</t>
        </is>
      </c>
      <c r="K17" s="5">
        <f>COUNTIF(Testes!$E$2:$E$500,A17)</f>
        <v/>
      </c>
    </row>
    <row r="18">
      <c r="A18" s="5" t="inlineStr">
        <is>
          <t>C17</t>
        </is>
      </c>
      <c r="B18" s="5" t="inlineStr">
        <is>
          <t>Soldando com máscara abaixada, com fumos e faíscas</t>
        </is>
      </c>
      <c r="C18" s="5" t="inlineStr">
        <is>
          <t>mascara_abaixada</t>
        </is>
      </c>
      <c r="D18" s="5" t="inlineStr">
        <is>
          <t>frente</t>
        </is>
      </c>
      <c r="E18" s="5" t="n">
        <v>2</v>
      </c>
      <c r="F18" s="5" t="inlineStr">
        <is>
          <t>aceso</t>
        </is>
      </c>
      <c r="G18" s="5" t="inlineStr">
        <is>
          <t>sim</t>
        </is>
      </c>
      <c r="H18" s="5">
        <f>IF(C18="","",IF(C18="misto","revisão manual",IF(OR(C18="pausa_curta",C18="mascara_abaixada",D18="costas"),"sem ocorrência","ocorrência")))</f>
        <v/>
      </c>
      <c r="I18" s="5" t="inlineStr">
        <is>
          <t>laboratório, Marcopolo ou internet</t>
        </is>
      </c>
      <c r="J18" s="5" t="inlineStr">
        <is>
          <t>média</t>
        </is>
      </c>
      <c r="K18" s="5">
        <f>COUNTIF(Testes!$E$2:$E$500,A18)</f>
        <v/>
      </c>
    </row>
    <row r="19">
      <c r="A19" s="5" t="inlineStr">
        <is>
          <t>C18</t>
        </is>
      </c>
      <c r="B19" s="6" t="inlineStr">
        <is>
          <t>Arco aceso e soldador sem máscara: SOMENTE vídeos já existentes (internet). Nunca encenar!</t>
        </is>
      </c>
      <c r="C19" s="5" t="inlineStr">
        <is>
          <t>sem_mascara</t>
        </is>
      </c>
      <c r="D19" s="5" t="inlineStr">
        <is>
          <t>frente</t>
        </is>
      </c>
      <c r="E19" s="5" t="n">
        <v>2</v>
      </c>
      <c r="F19" s="5" t="inlineStr">
        <is>
          <t>aceso</t>
        </is>
      </c>
      <c r="G19" s="5" t="inlineStr">
        <is>
          <t>nao</t>
        </is>
      </c>
      <c r="H19" s="5">
        <f>IF(C19="","",IF(C19="misto","revisão manual",IF(OR(C19="pausa_curta",C19="mascara_abaixada",D19="costas"),"sem ocorrência","ocorrência")))</f>
        <v/>
      </c>
      <c r="I19" s="5" t="inlineStr">
        <is>
          <t>internet</t>
        </is>
      </c>
      <c r="J19" s="5" t="inlineStr">
        <is>
          <t>baixa</t>
        </is>
      </c>
      <c r="K19" s="5">
        <f>COUNTIF(Testes!$E$2:$E$500,A19)</f>
        <v/>
      </c>
    </row>
    <row r="20">
      <c r="A20" s="5" t="inlineStr">
        <is>
          <t>C19</t>
        </is>
      </c>
      <c r="B20" s="5" t="inlineStr">
        <is>
          <t>Duas pessoas: uma com máscara e outra sem</t>
        </is>
      </c>
      <c r="C20" s="5" t="inlineStr">
        <is>
          <t>misto</t>
        </is>
      </c>
      <c r="D20" s="5" t="inlineStr">
        <is>
          <t>frente</t>
        </is>
      </c>
      <c r="E20" s="5" t="n">
        <v>2</v>
      </c>
      <c r="F20" s="5" t="inlineStr">
        <is>
          <t>apagado</t>
        </is>
      </c>
      <c r="G20" s="5" t="inlineStr">
        <is>
          <t>nao</t>
        </is>
      </c>
      <c r="H20" s="5">
        <f>IF(C20="","",IF(C20="misto","revisão manual",IF(OR(C20="pausa_curta",C20="mascara_abaixada",D20="costas"),"sem ocorrência","ocorrência")))</f>
        <v/>
      </c>
      <c r="I20" s="5" t="inlineStr">
        <is>
          <t>máscara de solda + 2 pessoas</t>
        </is>
      </c>
      <c r="J20" s="5" t="inlineStr">
        <is>
          <t>média</t>
        </is>
      </c>
      <c r="K20" s="5">
        <f>COUNTIF(Testes!$E$2:$E$500,A20)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9" customWidth="1" min="3" max="3"/>
    <col width="8" customWidth="1" min="4" max="4"/>
    <col width="9" customWidth="1" min="5" max="5"/>
    <col width="18" customWidth="1" min="6" max="6"/>
    <col width="9" customWidth="1" min="7" max="7"/>
    <col width="11" customWidth="1" min="8" max="8"/>
    <col width="9" customWidth="1" min="9" max="9"/>
    <col width="7" customWidth="1" min="10" max="10"/>
    <col width="8" customWidth="1" min="11" max="11"/>
    <col width="11" customWidth="1" min="12" max="12"/>
    <col width="28" customWidth="1" min="13" max="13"/>
    <col width="15" customWidth="1" min="14" max="14"/>
    <col width="8" customWidth="1" min="15" max="15"/>
    <col width="7" customWidth="1" min="16" max="16"/>
    <col width="11" customWidth="1" min="17" max="17"/>
    <col width="13" customWidth="1" min="18" max="18"/>
    <col width="14" customWidth="1" min="19" max="19"/>
    <col width="12" customWidth="1" min="20" max="20"/>
    <col width="11" customWidth="1" min="21" max="21"/>
    <col width="10" customWidth="1" min="22" max="22"/>
    <col width="17" customWidth="1" min="23" max="23"/>
  </cols>
  <sheetData>
    <row r="1">
      <c r="A1" s="4" t="inlineStr">
        <is>
          <t>ID</t>
        </is>
      </c>
      <c r="B1" s="4" t="inlineStr">
        <is>
          <t>arquivo</t>
        </is>
      </c>
      <c r="C1" s="4" t="inlineStr">
        <is>
          <t>inicio_s</t>
        </is>
      </c>
      <c r="D1" s="4" t="inlineStr">
        <is>
          <t>fim_s</t>
        </is>
      </c>
      <c r="E1" s="4" t="inlineStr">
        <is>
          <t>cenario</t>
        </is>
      </c>
      <c r="F1" s="4" t="inlineStr">
        <is>
          <t>situacao_real</t>
        </is>
      </c>
      <c r="G1" s="4" t="inlineStr">
        <is>
          <t>angulo</t>
        </is>
      </c>
      <c r="H1" s="4" t="inlineStr">
        <is>
          <t>distancia_m</t>
        </is>
      </c>
      <c r="I1" s="4" t="inlineStr">
        <is>
          <t>arco</t>
        </is>
      </c>
      <c r="J1" s="4" t="inlineStr">
        <is>
          <t>fumos</t>
        </is>
      </c>
      <c r="K1" s="4" t="inlineStr">
        <is>
          <t>pessoas</t>
        </is>
      </c>
      <c r="L1" s="4" t="inlineStr">
        <is>
          <t>origem</t>
        </is>
      </c>
      <c r="M1" s="4" t="inlineStr">
        <is>
          <t>observacoes</t>
        </is>
      </c>
      <c r="N1" s="4" t="inlineStr">
        <is>
          <t>esperado</t>
        </is>
      </c>
      <c r="O1" s="4" t="inlineStr">
        <is>
          <t>frames</t>
        </is>
      </c>
      <c r="P1" s="4" t="inlineStr">
        <is>
          <t>fps</t>
        </is>
      </c>
      <c r="Q1" s="4" t="inlineStr">
        <is>
          <t>pct_conforme</t>
        </is>
      </c>
      <c r="R1" s="4" t="inlineStr">
        <is>
          <t>pct_nao_conforme</t>
        </is>
      </c>
      <c r="S1" s="4" t="inlineStr">
        <is>
          <t>pct_indeterminado</t>
        </is>
      </c>
      <c r="T1" s="4" t="inlineStr">
        <is>
          <t>ignorados_arco</t>
        </is>
      </c>
      <c r="U1" s="4" t="inlineStr">
        <is>
          <t>ocorrencias</t>
        </is>
      </c>
      <c r="V1" s="4" t="inlineStr">
        <is>
          <t>resultado</t>
        </is>
      </c>
      <c r="W1" s="4" t="inlineStr">
        <is>
          <t>avaliado_em</t>
        </is>
      </c>
    </row>
    <row r="2">
      <c r="A2" s="7" t="inlineStr">
        <is>
          <t>T01</t>
        </is>
      </c>
      <c r="B2" s="7" t="inlineStr">
        <is>
          <t>testes_campo/teste_sem_mascara.mp4</t>
        </is>
      </c>
      <c r="C2" s="7" t="n"/>
      <c r="D2" s="7" t="n"/>
      <c r="E2" s="7" t="inlineStr">
        <is>
          <t>C06</t>
        </is>
      </c>
      <c r="F2" s="7" t="inlineStr">
        <is>
          <t>sem_mascara</t>
        </is>
      </c>
      <c r="G2" s="7" t="inlineStr">
        <is>
          <t>varia</t>
        </is>
      </c>
      <c r="H2" s="7" t="n">
        <v>1</v>
      </c>
      <c r="I2" s="7" t="inlineStr">
        <is>
          <t>apagado</t>
        </is>
      </c>
      <c r="J2" s="7" t="inlineStr">
        <is>
          <t>nao</t>
        </is>
      </c>
      <c r="K2" s="7" t="n">
        <v>1</v>
      </c>
      <c r="L2" s="7" t="inlineStr">
        <is>
          <t>webcam</t>
        </is>
      </c>
      <c r="M2" s="7" t="inlineStr">
        <is>
          <t>Exemplo: teste real da webcam (modelo v3)</t>
        </is>
      </c>
      <c r="N2" s="8">
        <f>IF(F2="","",IF(F2="misto","revisão manual",IF(OR(F2="pausa_curta",F2="mascara_abaixada",G2="costas"),"sem ocorrência","ocorrência")))</f>
        <v/>
      </c>
      <c r="O2" s="9" t="n">
        <v>1440</v>
      </c>
      <c r="P2" s="10" t="n">
        <v>14.9</v>
      </c>
      <c r="Q2" s="11" t="n">
        <v>0.005</v>
      </c>
      <c r="R2" s="11" t="n">
        <v>0.908</v>
      </c>
      <c r="S2" s="11" t="n">
        <v>0.08699999999999999</v>
      </c>
      <c r="T2" s="9" t="n">
        <v>0</v>
      </c>
      <c r="U2" s="9" t="n">
        <v>1</v>
      </c>
      <c r="V2" s="8">
        <f>IF(OR(N2="",N2="revisão manual",U2=""),"",IF(OR(AND(U2&gt;0,N2="ocorrência"),AND(U2=0,N2="sem ocorrência")),"OK","FALHA"))</f>
        <v/>
      </c>
      <c r="W2" s="9" t="inlineStr">
        <is>
          <t>13/10/2026 08:52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>
        <f>IF(F3="","",IF(F3="misto","revisão manual",IF(OR(F3="pausa_curta",F3="mascara_abaixada",G3="costas"),"sem ocorrência","ocorrência")))</f>
        <v/>
      </c>
      <c r="O3" s="9" t="n"/>
      <c r="P3" s="10" t="n"/>
      <c r="Q3" s="11" t="n"/>
      <c r="R3" s="11" t="n"/>
      <c r="S3" s="11" t="n"/>
      <c r="T3" s="9" t="n"/>
      <c r="U3" s="9" t="n"/>
      <c r="V3" s="8">
        <f>IF(OR(N3="",N3="revisão manual",U3=""),"",IF(OR(AND(U3&gt;0,N3="ocorrência"),AND(U3=0,N3="sem ocorrência")),"OK","FALHA"))</f>
        <v/>
      </c>
      <c r="W3" s="9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>
        <f>IF(F4="","",IF(F4="misto","revisão manual",IF(OR(F4="pausa_curta",F4="mascara_abaixada",G4="costas"),"sem ocorrência","ocorrência")))</f>
        <v/>
      </c>
      <c r="O4" s="9" t="n"/>
      <c r="P4" s="10" t="n"/>
      <c r="Q4" s="11" t="n"/>
      <c r="R4" s="11" t="n"/>
      <c r="S4" s="11" t="n"/>
      <c r="T4" s="9" t="n"/>
      <c r="U4" s="9" t="n"/>
      <c r="V4" s="8">
        <f>IF(OR(N4="",N4="revisão manual",U4=""),"",IF(OR(AND(U4&gt;0,N4="ocorrência"),AND(U4=0,N4="sem ocorrência")),"OK","FALHA"))</f>
        <v/>
      </c>
      <c r="W4" s="9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>
        <f>IF(F5="","",IF(F5="misto","revisão manual",IF(OR(F5="pausa_curta",F5="mascara_abaixada",G5="costas"),"sem ocorrência","ocorrência")))</f>
        <v/>
      </c>
      <c r="O5" s="9" t="n"/>
      <c r="P5" s="10" t="n"/>
      <c r="Q5" s="11" t="n"/>
      <c r="R5" s="11" t="n"/>
      <c r="S5" s="11" t="n"/>
      <c r="T5" s="9" t="n"/>
      <c r="U5" s="9" t="n"/>
      <c r="V5" s="8">
        <f>IF(OR(N5="",N5="revisão manual",U5=""),"",IF(OR(AND(U5&gt;0,N5="ocorrência"),AND(U5=0,N5="sem ocorrência")),"OK","FALHA"))</f>
        <v/>
      </c>
      <c r="W5" s="9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>
        <f>IF(F6="","",IF(F6="misto","revisão manual",IF(OR(F6="pausa_curta",F6="mascara_abaixada",G6="costas"),"sem ocorrência","ocorrência")))</f>
        <v/>
      </c>
      <c r="O6" s="9" t="n"/>
      <c r="P6" s="10" t="n"/>
      <c r="Q6" s="11" t="n"/>
      <c r="R6" s="11" t="n"/>
      <c r="S6" s="11" t="n"/>
      <c r="T6" s="9" t="n"/>
      <c r="U6" s="9" t="n"/>
      <c r="V6" s="8">
        <f>IF(OR(N6="",N6="revisão manual",U6=""),"",IF(OR(AND(U6&gt;0,N6="ocorrência"),AND(U6=0,N6="sem ocorrência")),"OK","FALHA"))</f>
        <v/>
      </c>
      <c r="W6" s="9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8">
        <f>IF(F7="","",IF(F7="misto","revisão manual",IF(OR(F7="pausa_curta",F7="mascara_abaixada",G7="costas"),"sem ocorrência","ocorrência")))</f>
        <v/>
      </c>
      <c r="O7" s="9" t="n"/>
      <c r="P7" s="10" t="n"/>
      <c r="Q7" s="11" t="n"/>
      <c r="R7" s="11" t="n"/>
      <c r="S7" s="11" t="n"/>
      <c r="T7" s="9" t="n"/>
      <c r="U7" s="9" t="n"/>
      <c r="V7" s="8">
        <f>IF(OR(N7="",N7="revisão manual",U7=""),"",IF(OR(AND(U7&gt;0,N7="ocorrência"),AND(U7=0,N7="sem ocorrência")),"OK","FALHA"))</f>
        <v/>
      </c>
      <c r="W7" s="9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>
        <f>IF(F8="","",IF(F8="misto","revisão manual",IF(OR(F8="pausa_curta",F8="mascara_abaixada",G8="costas"),"sem ocorrência","ocorrência")))</f>
        <v/>
      </c>
      <c r="O8" s="9" t="n"/>
      <c r="P8" s="10" t="n"/>
      <c r="Q8" s="11" t="n"/>
      <c r="R8" s="11" t="n"/>
      <c r="S8" s="11" t="n"/>
      <c r="T8" s="9" t="n"/>
      <c r="U8" s="9" t="n"/>
      <c r="V8" s="8">
        <f>IF(OR(N8="",N8="revisão manual",U8=""),"",IF(OR(AND(U8&gt;0,N8="ocorrência"),AND(U8=0,N8="sem ocorrência")),"OK","FALHA"))</f>
        <v/>
      </c>
      <c r="W8" s="9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8">
        <f>IF(F9="","",IF(F9="misto","revisão manual",IF(OR(F9="pausa_curta",F9="mascara_abaixada",G9="costas"),"sem ocorrência","ocorrência")))</f>
        <v/>
      </c>
      <c r="O9" s="9" t="n"/>
      <c r="P9" s="10" t="n"/>
      <c r="Q9" s="11" t="n"/>
      <c r="R9" s="11" t="n"/>
      <c r="S9" s="11" t="n"/>
      <c r="T9" s="9" t="n"/>
      <c r="U9" s="9" t="n"/>
      <c r="V9" s="8">
        <f>IF(OR(N9="",N9="revisão manual",U9=""),"",IF(OR(AND(U9&gt;0,N9="ocorrência"),AND(U9=0,N9="sem ocorrência")),"OK","FALHA"))</f>
        <v/>
      </c>
      <c r="W9" s="9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>
        <f>IF(F10="","",IF(F10="misto","revisão manual",IF(OR(F10="pausa_curta",F10="mascara_abaixada",G10="costas"),"sem ocorrência","ocorrência")))</f>
        <v/>
      </c>
      <c r="O10" s="9" t="n"/>
      <c r="P10" s="10" t="n"/>
      <c r="Q10" s="11" t="n"/>
      <c r="R10" s="11" t="n"/>
      <c r="S10" s="11" t="n"/>
      <c r="T10" s="9" t="n"/>
      <c r="U10" s="9" t="n"/>
      <c r="V10" s="8">
        <f>IF(OR(N10="",N10="revisão manual",U10=""),"",IF(OR(AND(U10&gt;0,N10="ocorrência"),AND(U10=0,N10="sem ocorrência")),"OK","FALHA"))</f>
        <v/>
      </c>
      <c r="W10" s="9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8">
        <f>IF(F11="","",IF(F11="misto","revisão manual",IF(OR(F11="pausa_curta",F11="mascara_abaixada",G11="costas"),"sem ocorrência","ocorrência")))</f>
        <v/>
      </c>
      <c r="O11" s="9" t="n"/>
      <c r="P11" s="10" t="n"/>
      <c r="Q11" s="11" t="n"/>
      <c r="R11" s="11" t="n"/>
      <c r="S11" s="11" t="n"/>
      <c r="T11" s="9" t="n"/>
      <c r="U11" s="9" t="n"/>
      <c r="V11" s="8">
        <f>IF(OR(N11="",N11="revisão manual",U11=""),"",IF(OR(AND(U11&gt;0,N11="ocorrência"),AND(U11=0,N11="sem ocorrência")),"OK","FALHA"))</f>
        <v/>
      </c>
      <c r="W11" s="9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8">
        <f>IF(F12="","",IF(F12="misto","revisão manual",IF(OR(F12="pausa_curta",F12="mascara_abaixada",G12="costas"),"sem ocorrência","ocorrência")))</f>
        <v/>
      </c>
      <c r="O12" s="9" t="n"/>
      <c r="P12" s="10" t="n"/>
      <c r="Q12" s="11" t="n"/>
      <c r="R12" s="11" t="n"/>
      <c r="S12" s="11" t="n"/>
      <c r="T12" s="9" t="n"/>
      <c r="U12" s="9" t="n"/>
      <c r="V12" s="8">
        <f>IF(OR(N12="",N12="revisão manual",U12=""),"",IF(OR(AND(U12&gt;0,N12="ocorrência"),AND(U12=0,N12="sem ocorrência")),"OK","FALHA"))</f>
        <v/>
      </c>
      <c r="W12" s="9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8">
        <f>IF(F13="","",IF(F13="misto","revisão manual",IF(OR(F13="pausa_curta",F13="mascara_abaixada",G13="costas"),"sem ocorrência","ocorrência")))</f>
        <v/>
      </c>
      <c r="O13" s="9" t="n"/>
      <c r="P13" s="10" t="n"/>
      <c r="Q13" s="11" t="n"/>
      <c r="R13" s="11" t="n"/>
      <c r="S13" s="11" t="n"/>
      <c r="T13" s="9" t="n"/>
      <c r="U13" s="9" t="n"/>
      <c r="V13" s="8">
        <f>IF(OR(N13="",N13="revisão manual",U13=""),"",IF(OR(AND(U13&gt;0,N13="ocorrência"),AND(U13=0,N13="sem ocorrência")),"OK","FALHA"))</f>
        <v/>
      </c>
      <c r="W13" s="9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8">
        <f>IF(F14="","",IF(F14="misto","revisão manual",IF(OR(F14="pausa_curta",F14="mascara_abaixada",G14="costas"),"sem ocorrência","ocorrência")))</f>
        <v/>
      </c>
      <c r="O14" s="9" t="n"/>
      <c r="P14" s="10" t="n"/>
      <c r="Q14" s="11" t="n"/>
      <c r="R14" s="11" t="n"/>
      <c r="S14" s="11" t="n"/>
      <c r="T14" s="9" t="n"/>
      <c r="U14" s="9" t="n"/>
      <c r="V14" s="8">
        <f>IF(OR(N14="",N14="revisão manual",U14=""),"",IF(OR(AND(U14&gt;0,N14="ocorrência"),AND(U14=0,N14="sem ocorrência")),"OK","FALHA"))</f>
        <v/>
      </c>
      <c r="W14" s="9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8">
        <f>IF(F15="","",IF(F15="misto","revisão manual",IF(OR(F15="pausa_curta",F15="mascara_abaixada",G15="costas"),"sem ocorrência","ocorrência")))</f>
        <v/>
      </c>
      <c r="O15" s="9" t="n"/>
      <c r="P15" s="10" t="n"/>
      <c r="Q15" s="11" t="n"/>
      <c r="R15" s="11" t="n"/>
      <c r="S15" s="11" t="n"/>
      <c r="T15" s="9" t="n"/>
      <c r="U15" s="9" t="n"/>
      <c r="V15" s="8">
        <f>IF(OR(N15="",N15="revisão manual",U15=""),"",IF(OR(AND(U15&gt;0,N15="ocorrência"),AND(U15=0,N15="sem ocorrência")),"OK","FALHA"))</f>
        <v/>
      </c>
      <c r="W15" s="9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>
        <f>IF(F16="","",IF(F16="misto","revisão manual",IF(OR(F16="pausa_curta",F16="mascara_abaixada",G16="costas"),"sem ocorrência","ocorrência")))</f>
        <v/>
      </c>
      <c r="O16" s="9" t="n"/>
      <c r="P16" s="10" t="n"/>
      <c r="Q16" s="11" t="n"/>
      <c r="R16" s="11" t="n"/>
      <c r="S16" s="11" t="n"/>
      <c r="T16" s="9" t="n"/>
      <c r="U16" s="9" t="n"/>
      <c r="V16" s="8">
        <f>IF(OR(N16="",N16="revisão manual",U16=""),"",IF(OR(AND(U16&gt;0,N16="ocorrência"),AND(U16=0,N16="sem ocorrência")),"OK","FALHA"))</f>
        <v/>
      </c>
      <c r="W16" s="9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8">
        <f>IF(F17="","",IF(F17="misto","revisão manual",IF(OR(F17="pausa_curta",F17="mascara_abaixada",G17="costas"),"sem ocorrência","ocorrência")))</f>
        <v/>
      </c>
      <c r="O17" s="9" t="n"/>
      <c r="P17" s="10" t="n"/>
      <c r="Q17" s="11" t="n"/>
      <c r="R17" s="11" t="n"/>
      <c r="S17" s="11" t="n"/>
      <c r="T17" s="9" t="n"/>
      <c r="U17" s="9" t="n"/>
      <c r="V17" s="8">
        <f>IF(OR(N17="",N17="revisão manual",U17=""),"",IF(OR(AND(U17&gt;0,N17="ocorrência"),AND(U17=0,N17="sem ocorrência")),"OK","FALHA"))</f>
        <v/>
      </c>
      <c r="W17" s="9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8">
        <f>IF(F18="","",IF(F18="misto","revisão manual",IF(OR(F18="pausa_curta",F18="mascara_abaixada",G18="costas"),"sem ocorrência","ocorrência")))</f>
        <v/>
      </c>
      <c r="O18" s="9" t="n"/>
      <c r="P18" s="10" t="n"/>
      <c r="Q18" s="11" t="n"/>
      <c r="R18" s="11" t="n"/>
      <c r="S18" s="11" t="n"/>
      <c r="T18" s="9" t="n"/>
      <c r="U18" s="9" t="n"/>
      <c r="V18" s="8">
        <f>IF(OR(N18="",N18="revisão manual",U18=""),"",IF(OR(AND(U18&gt;0,N18="ocorrência"),AND(U18=0,N18="sem ocorrência")),"OK","FALHA"))</f>
        <v/>
      </c>
      <c r="W18" s="9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8">
        <f>IF(F19="","",IF(F19="misto","revisão manual",IF(OR(F19="pausa_curta",F19="mascara_abaixada",G19="costas"),"sem ocorrência","ocorrência")))</f>
        <v/>
      </c>
      <c r="O19" s="9" t="n"/>
      <c r="P19" s="10" t="n"/>
      <c r="Q19" s="11" t="n"/>
      <c r="R19" s="11" t="n"/>
      <c r="S19" s="11" t="n"/>
      <c r="T19" s="9" t="n"/>
      <c r="U19" s="9" t="n"/>
      <c r="V19" s="8">
        <f>IF(OR(N19="",N19="revisão manual",U19=""),"",IF(OR(AND(U19&gt;0,N19="ocorrência"),AND(U19=0,N19="sem ocorrência")),"OK","FALHA"))</f>
        <v/>
      </c>
      <c r="W19" s="9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>
        <f>IF(F20="","",IF(F20="misto","revisão manual",IF(OR(F20="pausa_curta",F20="mascara_abaixada",G20="costas"),"sem ocorrência","ocorrência")))</f>
        <v/>
      </c>
      <c r="O20" s="9" t="n"/>
      <c r="P20" s="10" t="n"/>
      <c r="Q20" s="11" t="n"/>
      <c r="R20" s="11" t="n"/>
      <c r="S20" s="11" t="n"/>
      <c r="T20" s="9" t="n"/>
      <c r="U20" s="9" t="n"/>
      <c r="V20" s="8">
        <f>IF(OR(N20="",N20="revisão manual",U20=""),"",IF(OR(AND(U20&gt;0,N20="ocorrência"),AND(U20=0,N20="sem ocorrência")),"OK","FALHA"))</f>
        <v/>
      </c>
      <c r="W20" s="9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8">
        <f>IF(F21="","",IF(F21="misto","revisão manual",IF(OR(F21="pausa_curta",F21="mascara_abaixada",G21="costas"),"sem ocorrência","ocorrência")))</f>
        <v/>
      </c>
      <c r="O21" s="9" t="n"/>
      <c r="P21" s="10" t="n"/>
      <c r="Q21" s="11" t="n"/>
      <c r="R21" s="11" t="n"/>
      <c r="S21" s="11" t="n"/>
      <c r="T21" s="9" t="n"/>
      <c r="U21" s="9" t="n"/>
      <c r="V21" s="8">
        <f>IF(OR(N21="",N21="revisão manual",U21=""),"",IF(OR(AND(U21&gt;0,N21="ocorrência"),AND(U21=0,N21="sem ocorrência")),"OK","FALHA"))</f>
        <v/>
      </c>
      <c r="W21" s="9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8">
        <f>IF(F22="","",IF(F22="misto","revisão manual",IF(OR(F22="pausa_curta",F22="mascara_abaixada",G22="costas"),"sem ocorrência","ocorrência")))</f>
        <v/>
      </c>
      <c r="O22" s="9" t="n"/>
      <c r="P22" s="10" t="n"/>
      <c r="Q22" s="11" t="n"/>
      <c r="R22" s="11" t="n"/>
      <c r="S22" s="11" t="n"/>
      <c r="T22" s="9" t="n"/>
      <c r="U22" s="9" t="n"/>
      <c r="V22" s="8">
        <f>IF(OR(N22="",N22="revisão manual",U22=""),"",IF(OR(AND(U22&gt;0,N22="ocorrência"),AND(U22=0,N22="sem ocorrência")),"OK","FALHA"))</f>
        <v/>
      </c>
      <c r="W22" s="9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8">
        <f>IF(F23="","",IF(F23="misto","revisão manual",IF(OR(F23="pausa_curta",F23="mascara_abaixada",G23="costas"),"sem ocorrência","ocorrência")))</f>
        <v/>
      </c>
      <c r="O23" s="9" t="n"/>
      <c r="P23" s="10" t="n"/>
      <c r="Q23" s="11" t="n"/>
      <c r="R23" s="11" t="n"/>
      <c r="S23" s="11" t="n"/>
      <c r="T23" s="9" t="n"/>
      <c r="U23" s="9" t="n"/>
      <c r="V23" s="8">
        <f>IF(OR(N23="",N23="revisão manual",U23=""),"",IF(OR(AND(U23&gt;0,N23="ocorrência"),AND(U23=0,N23="sem ocorrência")),"OK","FALHA"))</f>
        <v/>
      </c>
      <c r="W23" s="9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>
        <f>IF(F24="","",IF(F24="misto","revisão manual",IF(OR(F24="pausa_curta",F24="mascara_abaixada",G24="costas"),"sem ocorrência","ocorrência")))</f>
        <v/>
      </c>
      <c r="O24" s="9" t="n"/>
      <c r="P24" s="10" t="n"/>
      <c r="Q24" s="11" t="n"/>
      <c r="R24" s="11" t="n"/>
      <c r="S24" s="11" t="n"/>
      <c r="T24" s="9" t="n"/>
      <c r="U24" s="9" t="n"/>
      <c r="V24" s="8">
        <f>IF(OR(N24="",N24="revisão manual",U24=""),"",IF(OR(AND(U24&gt;0,N24="ocorrência"),AND(U24=0,N24="sem ocorrência")),"OK","FALHA"))</f>
        <v/>
      </c>
      <c r="W24" s="9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8">
        <f>IF(F25="","",IF(F25="misto","revisão manual",IF(OR(F25="pausa_curta",F25="mascara_abaixada",G25="costas"),"sem ocorrência","ocorrência")))</f>
        <v/>
      </c>
      <c r="O25" s="9" t="n"/>
      <c r="P25" s="10" t="n"/>
      <c r="Q25" s="11" t="n"/>
      <c r="R25" s="11" t="n"/>
      <c r="S25" s="11" t="n"/>
      <c r="T25" s="9" t="n"/>
      <c r="U25" s="9" t="n"/>
      <c r="V25" s="8">
        <f>IF(OR(N25="",N25="revisão manual",U25=""),"",IF(OR(AND(U25&gt;0,N25="ocorrência"),AND(U25=0,N25="sem ocorrência")),"OK","FALHA"))</f>
        <v/>
      </c>
      <c r="W25" s="9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8">
        <f>IF(F26="","",IF(F26="misto","revisão manual",IF(OR(F26="pausa_curta",F26="mascara_abaixada",G26="costas"),"sem ocorrência","ocorrência")))</f>
        <v/>
      </c>
      <c r="O26" s="9" t="n"/>
      <c r="P26" s="10" t="n"/>
      <c r="Q26" s="11" t="n"/>
      <c r="R26" s="11" t="n"/>
      <c r="S26" s="11" t="n"/>
      <c r="T26" s="9" t="n"/>
      <c r="U26" s="9" t="n"/>
      <c r="V26" s="8">
        <f>IF(OR(N26="",N26="revisão manual",U26=""),"",IF(OR(AND(U26&gt;0,N26="ocorrência"),AND(U26=0,N26="sem ocorrência")),"OK","FALHA"))</f>
        <v/>
      </c>
      <c r="W26" s="9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8">
        <f>IF(F27="","",IF(F27="misto","revisão manual",IF(OR(F27="pausa_curta",F27="mascara_abaixada",G27="costas"),"sem ocorrência","ocorrência")))</f>
        <v/>
      </c>
      <c r="O27" s="9" t="n"/>
      <c r="P27" s="10" t="n"/>
      <c r="Q27" s="11" t="n"/>
      <c r="R27" s="11" t="n"/>
      <c r="S27" s="11" t="n"/>
      <c r="T27" s="9" t="n"/>
      <c r="U27" s="9" t="n"/>
      <c r="V27" s="8">
        <f>IF(OR(N27="",N27="revisão manual",U27=""),"",IF(OR(AND(U27&gt;0,N27="ocorrência"),AND(U27=0,N27="sem ocorrência")),"OK","FALHA"))</f>
        <v/>
      </c>
      <c r="W27" s="9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8">
        <f>IF(F28="","",IF(F28="misto","revisão manual",IF(OR(F28="pausa_curta",F28="mascara_abaixada",G28="costas"),"sem ocorrência","ocorrência")))</f>
        <v/>
      </c>
      <c r="O28" s="9" t="n"/>
      <c r="P28" s="10" t="n"/>
      <c r="Q28" s="11" t="n"/>
      <c r="R28" s="11" t="n"/>
      <c r="S28" s="11" t="n"/>
      <c r="T28" s="9" t="n"/>
      <c r="U28" s="9" t="n"/>
      <c r="V28" s="8">
        <f>IF(OR(N28="",N28="revisão manual",U28=""),"",IF(OR(AND(U28&gt;0,N28="ocorrência"),AND(U28=0,N28="sem ocorrência")),"OK","FALHA"))</f>
        <v/>
      </c>
      <c r="W28" s="9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8">
        <f>IF(F29="","",IF(F29="misto","revisão manual",IF(OR(F29="pausa_curta",F29="mascara_abaixada",G29="costas"),"sem ocorrência","ocorrência")))</f>
        <v/>
      </c>
      <c r="O29" s="9" t="n"/>
      <c r="P29" s="10" t="n"/>
      <c r="Q29" s="11" t="n"/>
      <c r="R29" s="11" t="n"/>
      <c r="S29" s="11" t="n"/>
      <c r="T29" s="9" t="n"/>
      <c r="U29" s="9" t="n"/>
      <c r="V29" s="8">
        <f>IF(OR(N29="",N29="revisão manual",U29=""),"",IF(OR(AND(U29&gt;0,N29="ocorrência"),AND(U29=0,N29="sem ocorrência")),"OK","FALHA"))</f>
        <v/>
      </c>
      <c r="W29" s="9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8">
        <f>IF(F30="","",IF(F30="misto","revisão manual",IF(OR(F30="pausa_curta",F30="mascara_abaixada",G30="costas"),"sem ocorrência","ocorrência")))</f>
        <v/>
      </c>
      <c r="O30" s="9" t="n"/>
      <c r="P30" s="10" t="n"/>
      <c r="Q30" s="11" t="n"/>
      <c r="R30" s="11" t="n"/>
      <c r="S30" s="11" t="n"/>
      <c r="T30" s="9" t="n"/>
      <c r="U30" s="9" t="n"/>
      <c r="V30" s="8">
        <f>IF(OR(N30="",N30="revisão manual",U30=""),"",IF(OR(AND(U30&gt;0,N30="ocorrência"),AND(U30=0,N30="sem ocorrência")),"OK","FALHA"))</f>
        <v/>
      </c>
      <c r="W30" s="9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8">
        <f>IF(F31="","",IF(F31="misto","revisão manual",IF(OR(F31="pausa_curta",F31="mascara_abaixada",G31="costas"),"sem ocorrência","ocorrência")))</f>
        <v/>
      </c>
      <c r="O31" s="9" t="n"/>
      <c r="P31" s="10" t="n"/>
      <c r="Q31" s="11" t="n"/>
      <c r="R31" s="11" t="n"/>
      <c r="S31" s="11" t="n"/>
      <c r="T31" s="9" t="n"/>
      <c r="U31" s="9" t="n"/>
      <c r="V31" s="8">
        <f>IF(OR(N31="",N31="revisão manual",U31=""),"",IF(OR(AND(U31&gt;0,N31="ocorrência"),AND(U31=0,N31="sem ocorrência")),"OK","FALHA"))</f>
        <v/>
      </c>
      <c r="W31" s="9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8">
        <f>IF(F32="","",IF(F32="misto","revisão manual",IF(OR(F32="pausa_curta",F32="mascara_abaixada",G32="costas"),"sem ocorrência","ocorrência")))</f>
        <v/>
      </c>
      <c r="O32" s="9" t="n"/>
      <c r="P32" s="10" t="n"/>
      <c r="Q32" s="11" t="n"/>
      <c r="R32" s="11" t="n"/>
      <c r="S32" s="11" t="n"/>
      <c r="T32" s="9" t="n"/>
      <c r="U32" s="9" t="n"/>
      <c r="V32" s="8">
        <f>IF(OR(N32="",N32="revisão manual",U32=""),"",IF(OR(AND(U32&gt;0,N32="ocorrência"),AND(U32=0,N32="sem ocorrência")),"OK","FALHA"))</f>
        <v/>
      </c>
      <c r="W32" s="9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8">
        <f>IF(F33="","",IF(F33="misto","revisão manual",IF(OR(F33="pausa_curta",F33="mascara_abaixada",G33="costas"),"sem ocorrência","ocorrência")))</f>
        <v/>
      </c>
      <c r="O33" s="9" t="n"/>
      <c r="P33" s="10" t="n"/>
      <c r="Q33" s="11" t="n"/>
      <c r="R33" s="11" t="n"/>
      <c r="S33" s="11" t="n"/>
      <c r="T33" s="9" t="n"/>
      <c r="U33" s="9" t="n"/>
      <c r="V33" s="8">
        <f>IF(OR(N33="",N33="revisão manual",U33=""),"",IF(OR(AND(U33&gt;0,N33="ocorrência"),AND(U33=0,N33="sem ocorrência")),"OK","FALHA"))</f>
        <v/>
      </c>
      <c r="W33" s="9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8">
        <f>IF(F34="","",IF(F34="misto","revisão manual",IF(OR(F34="pausa_curta",F34="mascara_abaixada",G34="costas"),"sem ocorrência","ocorrência")))</f>
        <v/>
      </c>
      <c r="O34" s="9" t="n"/>
      <c r="P34" s="10" t="n"/>
      <c r="Q34" s="11" t="n"/>
      <c r="R34" s="11" t="n"/>
      <c r="S34" s="11" t="n"/>
      <c r="T34" s="9" t="n"/>
      <c r="U34" s="9" t="n"/>
      <c r="V34" s="8">
        <f>IF(OR(N34="",N34="revisão manual",U34=""),"",IF(OR(AND(U34&gt;0,N34="ocorrência"),AND(U34=0,N34="sem ocorrência")),"OK","FALHA"))</f>
        <v/>
      </c>
      <c r="W34" s="9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8">
        <f>IF(F35="","",IF(F35="misto","revisão manual",IF(OR(F35="pausa_curta",F35="mascara_abaixada",G35="costas"),"sem ocorrência","ocorrência")))</f>
        <v/>
      </c>
      <c r="O35" s="9" t="n"/>
      <c r="P35" s="10" t="n"/>
      <c r="Q35" s="11" t="n"/>
      <c r="R35" s="11" t="n"/>
      <c r="S35" s="11" t="n"/>
      <c r="T35" s="9" t="n"/>
      <c r="U35" s="9" t="n"/>
      <c r="V35" s="8">
        <f>IF(OR(N35="",N35="revisão manual",U35=""),"",IF(OR(AND(U35&gt;0,N35="ocorrência"),AND(U35=0,N35="sem ocorrência")),"OK","FALHA"))</f>
        <v/>
      </c>
      <c r="W35" s="9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8">
        <f>IF(F36="","",IF(F36="misto","revisão manual",IF(OR(F36="pausa_curta",F36="mascara_abaixada",G36="costas"),"sem ocorrência","ocorrência")))</f>
        <v/>
      </c>
      <c r="O36" s="9" t="n"/>
      <c r="P36" s="10" t="n"/>
      <c r="Q36" s="11" t="n"/>
      <c r="R36" s="11" t="n"/>
      <c r="S36" s="11" t="n"/>
      <c r="T36" s="9" t="n"/>
      <c r="U36" s="9" t="n"/>
      <c r="V36" s="8">
        <f>IF(OR(N36="",N36="revisão manual",U36=""),"",IF(OR(AND(U36&gt;0,N36="ocorrência"),AND(U36=0,N36="sem ocorrência")),"OK","FALHA"))</f>
        <v/>
      </c>
      <c r="W36" s="9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8">
        <f>IF(F37="","",IF(F37="misto","revisão manual",IF(OR(F37="pausa_curta",F37="mascara_abaixada",G37="costas"),"sem ocorrência","ocorrência")))</f>
        <v/>
      </c>
      <c r="O37" s="9" t="n"/>
      <c r="P37" s="10" t="n"/>
      <c r="Q37" s="11" t="n"/>
      <c r="R37" s="11" t="n"/>
      <c r="S37" s="11" t="n"/>
      <c r="T37" s="9" t="n"/>
      <c r="U37" s="9" t="n"/>
      <c r="V37" s="8">
        <f>IF(OR(N37="",N37="revisão manual",U37=""),"",IF(OR(AND(U37&gt;0,N37="ocorrência"),AND(U37=0,N37="sem ocorrência")),"OK","FALHA"))</f>
        <v/>
      </c>
      <c r="W37" s="9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8">
        <f>IF(F38="","",IF(F38="misto","revisão manual",IF(OR(F38="pausa_curta",F38="mascara_abaixada",G38="costas"),"sem ocorrência","ocorrência")))</f>
        <v/>
      </c>
      <c r="O38" s="9" t="n"/>
      <c r="P38" s="10" t="n"/>
      <c r="Q38" s="11" t="n"/>
      <c r="R38" s="11" t="n"/>
      <c r="S38" s="11" t="n"/>
      <c r="T38" s="9" t="n"/>
      <c r="U38" s="9" t="n"/>
      <c r="V38" s="8">
        <f>IF(OR(N38="",N38="revisão manual",U38=""),"",IF(OR(AND(U38&gt;0,N38="ocorrência"),AND(U38=0,N38="sem ocorrência")),"OK","FALHA"))</f>
        <v/>
      </c>
      <c r="W38" s="9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8">
        <f>IF(F39="","",IF(F39="misto","revisão manual",IF(OR(F39="pausa_curta",F39="mascara_abaixada",G39="costas"),"sem ocorrência","ocorrência")))</f>
        <v/>
      </c>
      <c r="O39" s="9" t="n"/>
      <c r="P39" s="10" t="n"/>
      <c r="Q39" s="11" t="n"/>
      <c r="R39" s="11" t="n"/>
      <c r="S39" s="11" t="n"/>
      <c r="T39" s="9" t="n"/>
      <c r="U39" s="9" t="n"/>
      <c r="V39" s="8">
        <f>IF(OR(N39="",N39="revisão manual",U39=""),"",IF(OR(AND(U39&gt;0,N39="ocorrência"),AND(U39=0,N39="sem ocorrência")),"OK","FALHA"))</f>
        <v/>
      </c>
      <c r="W39" s="9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8">
        <f>IF(F40="","",IF(F40="misto","revisão manual",IF(OR(F40="pausa_curta",F40="mascara_abaixada",G40="costas"),"sem ocorrência","ocorrência")))</f>
        <v/>
      </c>
      <c r="O40" s="9" t="n"/>
      <c r="P40" s="10" t="n"/>
      <c r="Q40" s="11" t="n"/>
      <c r="R40" s="11" t="n"/>
      <c r="S40" s="11" t="n"/>
      <c r="T40" s="9" t="n"/>
      <c r="U40" s="9" t="n"/>
      <c r="V40" s="8">
        <f>IF(OR(N40="",N40="revisão manual",U40=""),"",IF(OR(AND(U40&gt;0,N40="ocorrência"),AND(U40=0,N40="sem ocorrência")),"OK","FALHA"))</f>
        <v/>
      </c>
      <c r="W40" s="9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8">
        <f>IF(F41="","",IF(F41="misto","revisão manual",IF(OR(F41="pausa_curta",F41="mascara_abaixada",G41="costas"),"sem ocorrência","ocorrência")))</f>
        <v/>
      </c>
      <c r="O41" s="9" t="n"/>
      <c r="P41" s="10" t="n"/>
      <c r="Q41" s="11" t="n"/>
      <c r="R41" s="11" t="n"/>
      <c r="S41" s="11" t="n"/>
      <c r="T41" s="9" t="n"/>
      <c r="U41" s="9" t="n"/>
      <c r="V41" s="8">
        <f>IF(OR(N41="",N41="revisão manual",U41=""),"",IF(OR(AND(U41&gt;0,N41="ocorrência"),AND(U41=0,N41="sem ocorrência")),"OK","FALHA"))</f>
        <v/>
      </c>
      <c r="W41" s="9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8">
        <f>IF(F42="","",IF(F42="misto","revisão manual",IF(OR(F42="pausa_curta",F42="mascara_abaixada",G42="costas"),"sem ocorrência","ocorrência")))</f>
        <v/>
      </c>
      <c r="O42" s="9" t="n"/>
      <c r="P42" s="10" t="n"/>
      <c r="Q42" s="11" t="n"/>
      <c r="R42" s="11" t="n"/>
      <c r="S42" s="11" t="n"/>
      <c r="T42" s="9" t="n"/>
      <c r="U42" s="9" t="n"/>
      <c r="V42" s="8">
        <f>IF(OR(N42="",N42="revisão manual",U42=""),"",IF(OR(AND(U42&gt;0,N42="ocorrência"),AND(U42=0,N42="sem ocorrência")),"OK","FALHA"))</f>
        <v/>
      </c>
      <c r="W42" s="9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8">
        <f>IF(F43="","",IF(F43="misto","revisão manual",IF(OR(F43="pausa_curta",F43="mascara_abaixada",G43="costas"),"sem ocorrência","ocorrência")))</f>
        <v/>
      </c>
      <c r="O43" s="9" t="n"/>
      <c r="P43" s="10" t="n"/>
      <c r="Q43" s="11" t="n"/>
      <c r="R43" s="11" t="n"/>
      <c r="S43" s="11" t="n"/>
      <c r="T43" s="9" t="n"/>
      <c r="U43" s="9" t="n"/>
      <c r="V43" s="8">
        <f>IF(OR(N43="",N43="revisão manual",U43=""),"",IF(OR(AND(U43&gt;0,N43="ocorrência"),AND(U43=0,N43="sem ocorrência")),"OK","FALHA"))</f>
        <v/>
      </c>
      <c r="W43" s="9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8">
        <f>IF(F44="","",IF(F44="misto","revisão manual",IF(OR(F44="pausa_curta",F44="mascara_abaixada",G44="costas"),"sem ocorrência","ocorrência")))</f>
        <v/>
      </c>
      <c r="O44" s="9" t="n"/>
      <c r="P44" s="10" t="n"/>
      <c r="Q44" s="11" t="n"/>
      <c r="R44" s="11" t="n"/>
      <c r="S44" s="11" t="n"/>
      <c r="T44" s="9" t="n"/>
      <c r="U44" s="9" t="n"/>
      <c r="V44" s="8">
        <f>IF(OR(N44="",N44="revisão manual",U44=""),"",IF(OR(AND(U44&gt;0,N44="ocorrência"),AND(U44=0,N44="sem ocorrência")),"OK","FALHA"))</f>
        <v/>
      </c>
      <c r="W44" s="9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8">
        <f>IF(F45="","",IF(F45="misto","revisão manual",IF(OR(F45="pausa_curta",F45="mascara_abaixada",G45="costas"),"sem ocorrência","ocorrência")))</f>
        <v/>
      </c>
      <c r="O45" s="9" t="n"/>
      <c r="P45" s="10" t="n"/>
      <c r="Q45" s="11" t="n"/>
      <c r="R45" s="11" t="n"/>
      <c r="S45" s="11" t="n"/>
      <c r="T45" s="9" t="n"/>
      <c r="U45" s="9" t="n"/>
      <c r="V45" s="8">
        <f>IF(OR(N45="",N45="revisão manual",U45=""),"",IF(OR(AND(U45&gt;0,N45="ocorrência"),AND(U45=0,N45="sem ocorrência")),"OK","FALHA"))</f>
        <v/>
      </c>
      <c r="W45" s="9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8">
        <f>IF(F46="","",IF(F46="misto","revisão manual",IF(OR(F46="pausa_curta",F46="mascara_abaixada",G46="costas"),"sem ocorrência","ocorrência")))</f>
        <v/>
      </c>
      <c r="O46" s="9" t="n"/>
      <c r="P46" s="10" t="n"/>
      <c r="Q46" s="11" t="n"/>
      <c r="R46" s="11" t="n"/>
      <c r="S46" s="11" t="n"/>
      <c r="T46" s="9" t="n"/>
      <c r="U46" s="9" t="n"/>
      <c r="V46" s="8">
        <f>IF(OR(N46="",N46="revisão manual",U46=""),"",IF(OR(AND(U46&gt;0,N46="ocorrência"),AND(U46=0,N46="sem ocorrência")),"OK","FALHA"))</f>
        <v/>
      </c>
      <c r="W46" s="9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8">
        <f>IF(F47="","",IF(F47="misto","revisão manual",IF(OR(F47="pausa_curta",F47="mascara_abaixada",G47="costas"),"sem ocorrência","ocorrência")))</f>
        <v/>
      </c>
      <c r="O47" s="9" t="n"/>
      <c r="P47" s="10" t="n"/>
      <c r="Q47" s="11" t="n"/>
      <c r="R47" s="11" t="n"/>
      <c r="S47" s="11" t="n"/>
      <c r="T47" s="9" t="n"/>
      <c r="U47" s="9" t="n"/>
      <c r="V47" s="8">
        <f>IF(OR(N47="",N47="revisão manual",U47=""),"",IF(OR(AND(U47&gt;0,N47="ocorrência"),AND(U47=0,N47="sem ocorrência")),"OK","FALHA"))</f>
        <v/>
      </c>
      <c r="W47" s="9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8">
        <f>IF(F48="","",IF(F48="misto","revisão manual",IF(OR(F48="pausa_curta",F48="mascara_abaixada",G48="costas"),"sem ocorrência","ocorrência")))</f>
        <v/>
      </c>
      <c r="O48" s="9" t="n"/>
      <c r="P48" s="10" t="n"/>
      <c r="Q48" s="11" t="n"/>
      <c r="R48" s="11" t="n"/>
      <c r="S48" s="11" t="n"/>
      <c r="T48" s="9" t="n"/>
      <c r="U48" s="9" t="n"/>
      <c r="V48" s="8">
        <f>IF(OR(N48="",N48="revisão manual",U48=""),"",IF(OR(AND(U48&gt;0,N48="ocorrência"),AND(U48=0,N48="sem ocorrência")),"OK","FALHA"))</f>
        <v/>
      </c>
      <c r="W48" s="9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8">
        <f>IF(F49="","",IF(F49="misto","revisão manual",IF(OR(F49="pausa_curta",F49="mascara_abaixada",G49="costas"),"sem ocorrência","ocorrência")))</f>
        <v/>
      </c>
      <c r="O49" s="9" t="n"/>
      <c r="P49" s="10" t="n"/>
      <c r="Q49" s="11" t="n"/>
      <c r="R49" s="11" t="n"/>
      <c r="S49" s="11" t="n"/>
      <c r="T49" s="9" t="n"/>
      <c r="U49" s="9" t="n"/>
      <c r="V49" s="8">
        <f>IF(OR(N49="",N49="revisão manual",U49=""),"",IF(OR(AND(U49&gt;0,N49="ocorrência"),AND(U49=0,N49="sem ocorrência")),"OK","FALHA"))</f>
        <v/>
      </c>
      <c r="W49" s="9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8">
        <f>IF(F50="","",IF(F50="misto","revisão manual",IF(OR(F50="pausa_curta",F50="mascara_abaixada",G50="costas"),"sem ocorrência","ocorrência")))</f>
        <v/>
      </c>
      <c r="O50" s="9" t="n"/>
      <c r="P50" s="10" t="n"/>
      <c r="Q50" s="11" t="n"/>
      <c r="R50" s="11" t="n"/>
      <c r="S50" s="11" t="n"/>
      <c r="T50" s="9" t="n"/>
      <c r="U50" s="9" t="n"/>
      <c r="V50" s="8">
        <f>IF(OR(N50="",N50="revisão manual",U50=""),"",IF(OR(AND(U50&gt;0,N50="ocorrência"),AND(U50=0,N50="sem ocorrência")),"OK","FALHA"))</f>
        <v/>
      </c>
      <c r="W50" s="9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8">
        <f>IF(F51="","",IF(F51="misto","revisão manual",IF(OR(F51="pausa_curta",F51="mascara_abaixada",G51="costas"),"sem ocorrência","ocorrência")))</f>
        <v/>
      </c>
      <c r="O51" s="9" t="n"/>
      <c r="P51" s="10" t="n"/>
      <c r="Q51" s="11" t="n"/>
      <c r="R51" s="11" t="n"/>
      <c r="S51" s="11" t="n"/>
      <c r="T51" s="9" t="n"/>
      <c r="U51" s="9" t="n"/>
      <c r="V51" s="8">
        <f>IF(OR(N51="",N51="revisão manual",U51=""),"",IF(OR(AND(U51&gt;0,N51="ocorrência"),AND(U51=0,N51="sem ocorrência")),"OK","FALHA"))</f>
        <v/>
      </c>
      <c r="W51" s="9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8">
        <f>IF(F52="","",IF(F52="misto","revisão manual",IF(OR(F52="pausa_curta",F52="mascara_abaixada",G52="costas"),"sem ocorrência","ocorrência")))</f>
        <v/>
      </c>
      <c r="O52" s="9" t="n"/>
      <c r="P52" s="10" t="n"/>
      <c r="Q52" s="11" t="n"/>
      <c r="R52" s="11" t="n"/>
      <c r="S52" s="11" t="n"/>
      <c r="T52" s="9" t="n"/>
      <c r="U52" s="9" t="n"/>
      <c r="V52" s="8">
        <f>IF(OR(N52="",N52="revisão manual",U52=""),"",IF(OR(AND(U52&gt;0,N52="ocorrência"),AND(U52=0,N52="sem ocorrência")),"OK","FALHA"))</f>
        <v/>
      </c>
      <c r="W52" s="9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8">
        <f>IF(F53="","",IF(F53="misto","revisão manual",IF(OR(F53="pausa_curta",F53="mascara_abaixada",G53="costas"),"sem ocorrência","ocorrência")))</f>
        <v/>
      </c>
      <c r="O53" s="9" t="n"/>
      <c r="P53" s="10" t="n"/>
      <c r="Q53" s="11" t="n"/>
      <c r="R53" s="11" t="n"/>
      <c r="S53" s="11" t="n"/>
      <c r="T53" s="9" t="n"/>
      <c r="U53" s="9" t="n"/>
      <c r="V53" s="8">
        <f>IF(OR(N53="",N53="revisão manual",U53=""),"",IF(OR(AND(U53&gt;0,N53="ocorrência"),AND(U53=0,N53="sem ocorrência")),"OK","FALHA"))</f>
        <v/>
      </c>
      <c r="W53" s="9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8">
        <f>IF(F54="","",IF(F54="misto","revisão manual",IF(OR(F54="pausa_curta",F54="mascara_abaixada",G54="costas"),"sem ocorrência","ocorrência")))</f>
        <v/>
      </c>
      <c r="O54" s="9" t="n"/>
      <c r="P54" s="10" t="n"/>
      <c r="Q54" s="11" t="n"/>
      <c r="R54" s="11" t="n"/>
      <c r="S54" s="11" t="n"/>
      <c r="T54" s="9" t="n"/>
      <c r="U54" s="9" t="n"/>
      <c r="V54" s="8">
        <f>IF(OR(N54="",N54="revisão manual",U54=""),"",IF(OR(AND(U54&gt;0,N54="ocorrência"),AND(U54=0,N54="sem ocorrência")),"OK","FALHA"))</f>
        <v/>
      </c>
      <c r="W54" s="9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8">
        <f>IF(F55="","",IF(F55="misto","revisão manual",IF(OR(F55="pausa_curta",F55="mascara_abaixada",G55="costas"),"sem ocorrência","ocorrência")))</f>
        <v/>
      </c>
      <c r="O55" s="9" t="n"/>
      <c r="P55" s="10" t="n"/>
      <c r="Q55" s="11" t="n"/>
      <c r="R55" s="11" t="n"/>
      <c r="S55" s="11" t="n"/>
      <c r="T55" s="9" t="n"/>
      <c r="U55" s="9" t="n"/>
      <c r="V55" s="8">
        <f>IF(OR(N55="",N55="revisão manual",U55=""),"",IF(OR(AND(U55&gt;0,N55="ocorrência"),AND(U55=0,N55="sem ocorrência")),"OK","FALHA"))</f>
        <v/>
      </c>
      <c r="W55" s="9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8">
        <f>IF(F56="","",IF(F56="misto","revisão manual",IF(OR(F56="pausa_curta",F56="mascara_abaixada",G56="costas"),"sem ocorrência","ocorrência")))</f>
        <v/>
      </c>
      <c r="O56" s="9" t="n"/>
      <c r="P56" s="10" t="n"/>
      <c r="Q56" s="11" t="n"/>
      <c r="R56" s="11" t="n"/>
      <c r="S56" s="11" t="n"/>
      <c r="T56" s="9" t="n"/>
      <c r="U56" s="9" t="n"/>
      <c r="V56" s="8">
        <f>IF(OR(N56="",N56="revisão manual",U56=""),"",IF(OR(AND(U56&gt;0,N56="ocorrência"),AND(U56=0,N56="sem ocorrência")),"OK","FALHA"))</f>
        <v/>
      </c>
      <c r="W56" s="9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8">
        <f>IF(F57="","",IF(F57="misto","revisão manual",IF(OR(F57="pausa_curta",F57="mascara_abaixada",G57="costas"),"sem ocorrência","ocorrência")))</f>
        <v/>
      </c>
      <c r="O57" s="9" t="n"/>
      <c r="P57" s="10" t="n"/>
      <c r="Q57" s="11" t="n"/>
      <c r="R57" s="11" t="n"/>
      <c r="S57" s="11" t="n"/>
      <c r="T57" s="9" t="n"/>
      <c r="U57" s="9" t="n"/>
      <c r="V57" s="8">
        <f>IF(OR(N57="",N57="revisão manual",U57=""),"",IF(OR(AND(U57&gt;0,N57="ocorrência"),AND(U57=0,N57="sem ocorrência")),"OK","FALHA"))</f>
        <v/>
      </c>
      <c r="W57" s="9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8">
        <f>IF(F58="","",IF(F58="misto","revisão manual",IF(OR(F58="pausa_curta",F58="mascara_abaixada",G58="costas"),"sem ocorrência","ocorrência")))</f>
        <v/>
      </c>
      <c r="O58" s="9" t="n"/>
      <c r="P58" s="10" t="n"/>
      <c r="Q58" s="11" t="n"/>
      <c r="R58" s="11" t="n"/>
      <c r="S58" s="11" t="n"/>
      <c r="T58" s="9" t="n"/>
      <c r="U58" s="9" t="n"/>
      <c r="V58" s="8">
        <f>IF(OR(N58="",N58="revisão manual",U58=""),"",IF(OR(AND(U58&gt;0,N58="ocorrência"),AND(U58=0,N58="sem ocorrência")),"OK","FALHA"))</f>
        <v/>
      </c>
      <c r="W58" s="9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8">
        <f>IF(F59="","",IF(F59="misto","revisão manual",IF(OR(F59="pausa_curta",F59="mascara_abaixada",G59="costas"),"sem ocorrência","ocorrência")))</f>
        <v/>
      </c>
      <c r="O59" s="9" t="n"/>
      <c r="P59" s="10" t="n"/>
      <c r="Q59" s="11" t="n"/>
      <c r="R59" s="11" t="n"/>
      <c r="S59" s="11" t="n"/>
      <c r="T59" s="9" t="n"/>
      <c r="U59" s="9" t="n"/>
      <c r="V59" s="8">
        <f>IF(OR(N59="",N59="revisão manual",U59=""),"",IF(OR(AND(U59&gt;0,N59="ocorrência"),AND(U59=0,N59="sem ocorrência")),"OK","FALHA"))</f>
        <v/>
      </c>
      <c r="W59" s="9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8">
        <f>IF(F60="","",IF(F60="misto","revisão manual",IF(OR(F60="pausa_curta",F60="mascara_abaixada",G60="costas"),"sem ocorrência","ocorrência")))</f>
        <v/>
      </c>
      <c r="O60" s="9" t="n"/>
      <c r="P60" s="10" t="n"/>
      <c r="Q60" s="11" t="n"/>
      <c r="R60" s="11" t="n"/>
      <c r="S60" s="11" t="n"/>
      <c r="T60" s="9" t="n"/>
      <c r="U60" s="9" t="n"/>
      <c r="V60" s="8">
        <f>IF(OR(N60="",N60="revisão manual",U60=""),"",IF(OR(AND(U60&gt;0,N60="ocorrência"),AND(U60=0,N60="sem ocorrência")),"OK","FALHA"))</f>
        <v/>
      </c>
      <c r="W60" s="9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8">
        <f>IF(F61="","",IF(F61="misto","revisão manual",IF(OR(F61="pausa_curta",F61="mascara_abaixada",G61="costas"),"sem ocorrência","ocorrência")))</f>
        <v/>
      </c>
      <c r="O61" s="9" t="n"/>
      <c r="P61" s="10" t="n"/>
      <c r="Q61" s="11" t="n"/>
      <c r="R61" s="11" t="n"/>
      <c r="S61" s="11" t="n"/>
      <c r="T61" s="9" t="n"/>
      <c r="U61" s="9" t="n"/>
      <c r="V61" s="8">
        <f>IF(OR(N61="",N61="revisão manual",U61=""),"",IF(OR(AND(U61&gt;0,N61="ocorrência"),AND(U61=0,N61="sem ocorrência")),"OK","FALHA"))</f>
        <v/>
      </c>
      <c r="W61" s="9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8">
        <f>IF(F62="","",IF(F62="misto","revisão manual",IF(OR(F62="pausa_curta",F62="mascara_abaixada",G62="costas"),"sem ocorrência","ocorrência")))</f>
        <v/>
      </c>
      <c r="O62" s="9" t="n"/>
      <c r="P62" s="10" t="n"/>
      <c r="Q62" s="11" t="n"/>
      <c r="R62" s="11" t="n"/>
      <c r="S62" s="11" t="n"/>
      <c r="T62" s="9" t="n"/>
      <c r="U62" s="9" t="n"/>
      <c r="V62" s="8">
        <f>IF(OR(N62="",N62="revisão manual",U62=""),"",IF(OR(AND(U62&gt;0,N62="ocorrência"),AND(U62=0,N62="sem ocorrência")),"OK","FALHA"))</f>
        <v/>
      </c>
      <c r="W62" s="9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8">
        <f>IF(F63="","",IF(F63="misto","revisão manual",IF(OR(F63="pausa_curta",F63="mascara_abaixada",G63="costas"),"sem ocorrência","ocorrência")))</f>
        <v/>
      </c>
      <c r="O63" s="9" t="n"/>
      <c r="P63" s="10" t="n"/>
      <c r="Q63" s="11" t="n"/>
      <c r="R63" s="11" t="n"/>
      <c r="S63" s="11" t="n"/>
      <c r="T63" s="9" t="n"/>
      <c r="U63" s="9" t="n"/>
      <c r="V63" s="8">
        <f>IF(OR(N63="",N63="revisão manual",U63=""),"",IF(OR(AND(U63&gt;0,N63="ocorrência"),AND(U63=0,N63="sem ocorrência")),"OK","FALHA"))</f>
        <v/>
      </c>
      <c r="W63" s="9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8">
        <f>IF(F64="","",IF(F64="misto","revisão manual",IF(OR(F64="pausa_curta",F64="mascara_abaixada",G64="costas"),"sem ocorrência","ocorrência")))</f>
        <v/>
      </c>
      <c r="O64" s="9" t="n"/>
      <c r="P64" s="10" t="n"/>
      <c r="Q64" s="11" t="n"/>
      <c r="R64" s="11" t="n"/>
      <c r="S64" s="11" t="n"/>
      <c r="T64" s="9" t="n"/>
      <c r="U64" s="9" t="n"/>
      <c r="V64" s="8">
        <f>IF(OR(N64="",N64="revisão manual",U64=""),"",IF(OR(AND(U64&gt;0,N64="ocorrência"),AND(U64=0,N64="sem ocorrência")),"OK","FALHA"))</f>
        <v/>
      </c>
      <c r="W64" s="9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8">
        <f>IF(F65="","",IF(F65="misto","revisão manual",IF(OR(F65="pausa_curta",F65="mascara_abaixada",G65="costas"),"sem ocorrência","ocorrência")))</f>
        <v/>
      </c>
      <c r="O65" s="9" t="n"/>
      <c r="P65" s="10" t="n"/>
      <c r="Q65" s="11" t="n"/>
      <c r="R65" s="11" t="n"/>
      <c r="S65" s="11" t="n"/>
      <c r="T65" s="9" t="n"/>
      <c r="U65" s="9" t="n"/>
      <c r="V65" s="8">
        <f>IF(OR(N65="",N65="revisão manual",U65=""),"",IF(OR(AND(U65&gt;0,N65="ocorrência"),AND(U65=0,N65="sem ocorrência")),"OK","FALHA"))</f>
        <v/>
      </c>
      <c r="W65" s="9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8">
        <f>IF(F66="","",IF(F66="misto","revisão manual",IF(OR(F66="pausa_curta",F66="mascara_abaixada",G66="costas"),"sem ocorrência","ocorrência")))</f>
        <v/>
      </c>
      <c r="O66" s="9" t="n"/>
      <c r="P66" s="10" t="n"/>
      <c r="Q66" s="11" t="n"/>
      <c r="R66" s="11" t="n"/>
      <c r="S66" s="11" t="n"/>
      <c r="T66" s="9" t="n"/>
      <c r="U66" s="9" t="n"/>
      <c r="V66" s="8">
        <f>IF(OR(N66="",N66="revisão manual",U66=""),"",IF(OR(AND(U66&gt;0,N66="ocorrência"),AND(U66=0,N66="sem ocorrência")),"OK","FALHA"))</f>
        <v/>
      </c>
      <c r="W66" s="9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8">
        <f>IF(F67="","",IF(F67="misto","revisão manual",IF(OR(F67="pausa_curta",F67="mascara_abaixada",G67="costas"),"sem ocorrência","ocorrência")))</f>
        <v/>
      </c>
      <c r="O67" s="9" t="n"/>
      <c r="P67" s="10" t="n"/>
      <c r="Q67" s="11" t="n"/>
      <c r="R67" s="11" t="n"/>
      <c r="S67" s="11" t="n"/>
      <c r="T67" s="9" t="n"/>
      <c r="U67" s="9" t="n"/>
      <c r="V67" s="8">
        <f>IF(OR(N67="",N67="revisão manual",U67=""),"",IF(OR(AND(U67&gt;0,N67="ocorrência"),AND(U67=0,N67="sem ocorrência")),"OK","FALHA"))</f>
        <v/>
      </c>
      <c r="W67" s="9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8">
        <f>IF(F68="","",IF(F68="misto","revisão manual",IF(OR(F68="pausa_curta",F68="mascara_abaixada",G68="costas"),"sem ocorrência","ocorrência")))</f>
        <v/>
      </c>
      <c r="O68" s="9" t="n"/>
      <c r="P68" s="10" t="n"/>
      <c r="Q68" s="11" t="n"/>
      <c r="R68" s="11" t="n"/>
      <c r="S68" s="11" t="n"/>
      <c r="T68" s="9" t="n"/>
      <c r="U68" s="9" t="n"/>
      <c r="V68" s="8">
        <f>IF(OR(N68="",N68="revisão manual",U68=""),"",IF(OR(AND(U68&gt;0,N68="ocorrência"),AND(U68=0,N68="sem ocorrência")),"OK","FALHA"))</f>
        <v/>
      </c>
      <c r="W68" s="9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8">
        <f>IF(F69="","",IF(F69="misto","revisão manual",IF(OR(F69="pausa_curta",F69="mascara_abaixada",G69="costas"),"sem ocorrência","ocorrência")))</f>
        <v/>
      </c>
      <c r="O69" s="9" t="n"/>
      <c r="P69" s="10" t="n"/>
      <c r="Q69" s="11" t="n"/>
      <c r="R69" s="11" t="n"/>
      <c r="S69" s="11" t="n"/>
      <c r="T69" s="9" t="n"/>
      <c r="U69" s="9" t="n"/>
      <c r="V69" s="8">
        <f>IF(OR(N69="",N69="revisão manual",U69=""),"",IF(OR(AND(U69&gt;0,N69="ocorrência"),AND(U69=0,N69="sem ocorrência")),"OK","FALHA"))</f>
        <v/>
      </c>
      <c r="W69" s="9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8">
        <f>IF(F70="","",IF(F70="misto","revisão manual",IF(OR(F70="pausa_curta",F70="mascara_abaixada",G70="costas"),"sem ocorrência","ocorrência")))</f>
        <v/>
      </c>
      <c r="O70" s="9" t="n"/>
      <c r="P70" s="10" t="n"/>
      <c r="Q70" s="11" t="n"/>
      <c r="R70" s="11" t="n"/>
      <c r="S70" s="11" t="n"/>
      <c r="T70" s="9" t="n"/>
      <c r="U70" s="9" t="n"/>
      <c r="V70" s="8">
        <f>IF(OR(N70="",N70="revisão manual",U70=""),"",IF(OR(AND(U70&gt;0,N70="ocorrência"),AND(U70=0,N70="sem ocorrência")),"OK","FALHA"))</f>
        <v/>
      </c>
      <c r="W70" s="9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8">
        <f>IF(F71="","",IF(F71="misto","revisão manual",IF(OR(F71="pausa_curta",F71="mascara_abaixada",G71="costas"),"sem ocorrência","ocorrência")))</f>
        <v/>
      </c>
      <c r="O71" s="9" t="n"/>
      <c r="P71" s="10" t="n"/>
      <c r="Q71" s="11" t="n"/>
      <c r="R71" s="11" t="n"/>
      <c r="S71" s="11" t="n"/>
      <c r="T71" s="9" t="n"/>
      <c r="U71" s="9" t="n"/>
      <c r="V71" s="8">
        <f>IF(OR(N71="",N71="revisão manual",U71=""),"",IF(OR(AND(U71&gt;0,N71="ocorrência"),AND(U71=0,N71="sem ocorrência")),"OK","FALHA"))</f>
        <v/>
      </c>
      <c r="W71" s="9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8">
        <f>IF(F72="","",IF(F72="misto","revisão manual",IF(OR(F72="pausa_curta",F72="mascara_abaixada",G72="costas"),"sem ocorrência","ocorrência")))</f>
        <v/>
      </c>
      <c r="O72" s="9" t="n"/>
      <c r="P72" s="10" t="n"/>
      <c r="Q72" s="11" t="n"/>
      <c r="R72" s="11" t="n"/>
      <c r="S72" s="11" t="n"/>
      <c r="T72" s="9" t="n"/>
      <c r="U72" s="9" t="n"/>
      <c r="V72" s="8">
        <f>IF(OR(N72="",N72="revisão manual",U72=""),"",IF(OR(AND(U72&gt;0,N72="ocorrência"),AND(U72=0,N72="sem ocorrência")),"OK","FALHA"))</f>
        <v/>
      </c>
      <c r="W72" s="9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8">
        <f>IF(F73="","",IF(F73="misto","revisão manual",IF(OR(F73="pausa_curta",F73="mascara_abaixada",G73="costas"),"sem ocorrência","ocorrência")))</f>
        <v/>
      </c>
      <c r="O73" s="9" t="n"/>
      <c r="P73" s="10" t="n"/>
      <c r="Q73" s="11" t="n"/>
      <c r="R73" s="11" t="n"/>
      <c r="S73" s="11" t="n"/>
      <c r="T73" s="9" t="n"/>
      <c r="U73" s="9" t="n"/>
      <c r="V73" s="8">
        <f>IF(OR(N73="",N73="revisão manual",U73=""),"",IF(OR(AND(U73&gt;0,N73="ocorrência"),AND(U73=0,N73="sem ocorrência")),"OK","FALHA"))</f>
        <v/>
      </c>
      <c r="W73" s="9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8">
        <f>IF(F74="","",IF(F74="misto","revisão manual",IF(OR(F74="pausa_curta",F74="mascara_abaixada",G74="costas"),"sem ocorrência","ocorrência")))</f>
        <v/>
      </c>
      <c r="O74" s="9" t="n"/>
      <c r="P74" s="10" t="n"/>
      <c r="Q74" s="11" t="n"/>
      <c r="R74" s="11" t="n"/>
      <c r="S74" s="11" t="n"/>
      <c r="T74" s="9" t="n"/>
      <c r="U74" s="9" t="n"/>
      <c r="V74" s="8">
        <f>IF(OR(N74="",N74="revisão manual",U74=""),"",IF(OR(AND(U74&gt;0,N74="ocorrência"),AND(U74=0,N74="sem ocorrência")),"OK","FALHA"))</f>
        <v/>
      </c>
      <c r="W74" s="9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8">
        <f>IF(F75="","",IF(F75="misto","revisão manual",IF(OR(F75="pausa_curta",F75="mascara_abaixada",G75="costas"),"sem ocorrência","ocorrência")))</f>
        <v/>
      </c>
      <c r="O75" s="9" t="n"/>
      <c r="P75" s="10" t="n"/>
      <c r="Q75" s="11" t="n"/>
      <c r="R75" s="11" t="n"/>
      <c r="S75" s="11" t="n"/>
      <c r="T75" s="9" t="n"/>
      <c r="U75" s="9" t="n"/>
      <c r="V75" s="8">
        <f>IF(OR(N75="",N75="revisão manual",U75=""),"",IF(OR(AND(U75&gt;0,N75="ocorrência"),AND(U75=0,N75="sem ocorrência")),"OK","FALHA"))</f>
        <v/>
      </c>
      <c r="W75" s="9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8">
        <f>IF(F76="","",IF(F76="misto","revisão manual",IF(OR(F76="pausa_curta",F76="mascara_abaixada",G76="costas"),"sem ocorrência","ocorrência")))</f>
        <v/>
      </c>
      <c r="O76" s="9" t="n"/>
      <c r="P76" s="10" t="n"/>
      <c r="Q76" s="11" t="n"/>
      <c r="R76" s="11" t="n"/>
      <c r="S76" s="11" t="n"/>
      <c r="T76" s="9" t="n"/>
      <c r="U76" s="9" t="n"/>
      <c r="V76" s="8">
        <f>IF(OR(N76="",N76="revisão manual",U76=""),"",IF(OR(AND(U76&gt;0,N76="ocorrência"),AND(U76=0,N76="sem ocorrência")),"OK","FALHA"))</f>
        <v/>
      </c>
      <c r="W76" s="9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8">
        <f>IF(F77="","",IF(F77="misto","revisão manual",IF(OR(F77="pausa_curta",F77="mascara_abaixada",G77="costas"),"sem ocorrência","ocorrência")))</f>
        <v/>
      </c>
      <c r="O77" s="9" t="n"/>
      <c r="P77" s="10" t="n"/>
      <c r="Q77" s="11" t="n"/>
      <c r="R77" s="11" t="n"/>
      <c r="S77" s="11" t="n"/>
      <c r="T77" s="9" t="n"/>
      <c r="U77" s="9" t="n"/>
      <c r="V77" s="8">
        <f>IF(OR(N77="",N77="revisão manual",U77=""),"",IF(OR(AND(U77&gt;0,N77="ocorrência"),AND(U77=0,N77="sem ocorrência")),"OK","FALHA"))</f>
        <v/>
      </c>
      <c r="W77" s="9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8">
        <f>IF(F78="","",IF(F78="misto","revisão manual",IF(OR(F78="pausa_curta",F78="mascara_abaixada",G78="costas"),"sem ocorrência","ocorrência")))</f>
        <v/>
      </c>
      <c r="O78" s="9" t="n"/>
      <c r="P78" s="10" t="n"/>
      <c r="Q78" s="11" t="n"/>
      <c r="R78" s="11" t="n"/>
      <c r="S78" s="11" t="n"/>
      <c r="T78" s="9" t="n"/>
      <c r="U78" s="9" t="n"/>
      <c r="V78" s="8">
        <f>IF(OR(N78="",N78="revisão manual",U78=""),"",IF(OR(AND(U78&gt;0,N78="ocorrência"),AND(U78=0,N78="sem ocorrência")),"OK","FALHA"))</f>
        <v/>
      </c>
      <c r="W78" s="9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8">
        <f>IF(F79="","",IF(F79="misto","revisão manual",IF(OR(F79="pausa_curta",F79="mascara_abaixada",G79="costas"),"sem ocorrência","ocorrência")))</f>
        <v/>
      </c>
      <c r="O79" s="9" t="n"/>
      <c r="P79" s="10" t="n"/>
      <c r="Q79" s="11" t="n"/>
      <c r="R79" s="11" t="n"/>
      <c r="S79" s="11" t="n"/>
      <c r="T79" s="9" t="n"/>
      <c r="U79" s="9" t="n"/>
      <c r="V79" s="8">
        <f>IF(OR(N79="",N79="revisão manual",U79=""),"",IF(OR(AND(U79&gt;0,N79="ocorrência"),AND(U79=0,N79="sem ocorrência")),"OK","FALHA"))</f>
        <v/>
      </c>
      <c r="W79" s="9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8">
        <f>IF(F80="","",IF(F80="misto","revisão manual",IF(OR(F80="pausa_curta",F80="mascara_abaixada",G80="costas"),"sem ocorrência","ocorrência")))</f>
        <v/>
      </c>
      <c r="O80" s="9" t="n"/>
      <c r="P80" s="10" t="n"/>
      <c r="Q80" s="11" t="n"/>
      <c r="R80" s="11" t="n"/>
      <c r="S80" s="11" t="n"/>
      <c r="T80" s="9" t="n"/>
      <c r="U80" s="9" t="n"/>
      <c r="V80" s="8">
        <f>IF(OR(N80="",N80="revisão manual",U80=""),"",IF(OR(AND(U80&gt;0,N80="ocorrência"),AND(U80=0,N80="sem ocorrência")),"OK","FALHA"))</f>
        <v/>
      </c>
      <c r="W80" s="9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8">
        <f>IF(F81="","",IF(F81="misto","revisão manual",IF(OR(F81="pausa_curta",F81="mascara_abaixada",G81="costas"),"sem ocorrência","ocorrência")))</f>
        <v/>
      </c>
      <c r="O81" s="9" t="n"/>
      <c r="P81" s="10" t="n"/>
      <c r="Q81" s="11" t="n"/>
      <c r="R81" s="11" t="n"/>
      <c r="S81" s="11" t="n"/>
      <c r="T81" s="9" t="n"/>
      <c r="U81" s="9" t="n"/>
      <c r="V81" s="8">
        <f>IF(OR(N81="",N81="revisão manual",U81=""),"",IF(OR(AND(U81&gt;0,N81="ocorrência"),AND(U81=0,N81="sem ocorrência")),"OK","FALHA"))</f>
        <v/>
      </c>
      <c r="W81" s="9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8">
        <f>IF(F82="","",IF(F82="misto","revisão manual",IF(OR(F82="pausa_curta",F82="mascara_abaixada",G82="costas"),"sem ocorrência","ocorrência")))</f>
        <v/>
      </c>
      <c r="O82" s="9" t="n"/>
      <c r="P82" s="10" t="n"/>
      <c r="Q82" s="11" t="n"/>
      <c r="R82" s="11" t="n"/>
      <c r="S82" s="11" t="n"/>
      <c r="T82" s="9" t="n"/>
      <c r="U82" s="9" t="n"/>
      <c r="V82" s="8">
        <f>IF(OR(N82="",N82="revisão manual",U82=""),"",IF(OR(AND(U82&gt;0,N82="ocorrência"),AND(U82=0,N82="sem ocorrência")),"OK","FALHA"))</f>
        <v/>
      </c>
      <c r="W82" s="9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8">
        <f>IF(F83="","",IF(F83="misto","revisão manual",IF(OR(F83="pausa_curta",F83="mascara_abaixada",G83="costas"),"sem ocorrência","ocorrência")))</f>
        <v/>
      </c>
      <c r="O83" s="9" t="n"/>
      <c r="P83" s="10" t="n"/>
      <c r="Q83" s="11" t="n"/>
      <c r="R83" s="11" t="n"/>
      <c r="S83" s="11" t="n"/>
      <c r="T83" s="9" t="n"/>
      <c r="U83" s="9" t="n"/>
      <c r="V83" s="8">
        <f>IF(OR(N83="",N83="revisão manual",U83=""),"",IF(OR(AND(U83&gt;0,N83="ocorrência"),AND(U83=0,N83="sem ocorrência")),"OK","FALHA"))</f>
        <v/>
      </c>
      <c r="W83" s="9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8">
        <f>IF(F84="","",IF(F84="misto","revisão manual",IF(OR(F84="pausa_curta",F84="mascara_abaixada",G84="costas"),"sem ocorrência","ocorrência")))</f>
        <v/>
      </c>
      <c r="O84" s="9" t="n"/>
      <c r="P84" s="10" t="n"/>
      <c r="Q84" s="11" t="n"/>
      <c r="R84" s="11" t="n"/>
      <c r="S84" s="11" t="n"/>
      <c r="T84" s="9" t="n"/>
      <c r="U84" s="9" t="n"/>
      <c r="V84" s="8">
        <f>IF(OR(N84="",N84="revisão manual",U84=""),"",IF(OR(AND(U84&gt;0,N84="ocorrência"),AND(U84=0,N84="sem ocorrência")),"OK","FALHA"))</f>
        <v/>
      </c>
      <c r="W84" s="9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8">
        <f>IF(F85="","",IF(F85="misto","revisão manual",IF(OR(F85="pausa_curta",F85="mascara_abaixada",G85="costas"),"sem ocorrência","ocorrência")))</f>
        <v/>
      </c>
      <c r="O85" s="9" t="n"/>
      <c r="P85" s="10" t="n"/>
      <c r="Q85" s="11" t="n"/>
      <c r="R85" s="11" t="n"/>
      <c r="S85" s="11" t="n"/>
      <c r="T85" s="9" t="n"/>
      <c r="U85" s="9" t="n"/>
      <c r="V85" s="8">
        <f>IF(OR(N85="",N85="revisão manual",U85=""),"",IF(OR(AND(U85&gt;0,N85="ocorrência"),AND(U85=0,N85="sem ocorrência")),"OK","FALHA"))</f>
        <v/>
      </c>
      <c r="W85" s="9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8">
        <f>IF(F86="","",IF(F86="misto","revisão manual",IF(OR(F86="pausa_curta",F86="mascara_abaixada",G86="costas"),"sem ocorrência","ocorrência")))</f>
        <v/>
      </c>
      <c r="O86" s="9" t="n"/>
      <c r="P86" s="10" t="n"/>
      <c r="Q86" s="11" t="n"/>
      <c r="R86" s="11" t="n"/>
      <c r="S86" s="11" t="n"/>
      <c r="T86" s="9" t="n"/>
      <c r="U86" s="9" t="n"/>
      <c r="V86" s="8">
        <f>IF(OR(N86="",N86="revisão manual",U86=""),"",IF(OR(AND(U86&gt;0,N86="ocorrência"),AND(U86=0,N86="sem ocorrência")),"OK","FALHA"))</f>
        <v/>
      </c>
      <c r="W86" s="9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8">
        <f>IF(F87="","",IF(F87="misto","revisão manual",IF(OR(F87="pausa_curta",F87="mascara_abaixada",G87="costas"),"sem ocorrência","ocorrência")))</f>
        <v/>
      </c>
      <c r="O87" s="9" t="n"/>
      <c r="P87" s="10" t="n"/>
      <c r="Q87" s="11" t="n"/>
      <c r="R87" s="11" t="n"/>
      <c r="S87" s="11" t="n"/>
      <c r="T87" s="9" t="n"/>
      <c r="U87" s="9" t="n"/>
      <c r="V87" s="8">
        <f>IF(OR(N87="",N87="revisão manual",U87=""),"",IF(OR(AND(U87&gt;0,N87="ocorrência"),AND(U87=0,N87="sem ocorrência")),"OK","FALHA"))</f>
        <v/>
      </c>
      <c r="W87" s="9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8">
        <f>IF(F88="","",IF(F88="misto","revisão manual",IF(OR(F88="pausa_curta",F88="mascara_abaixada",G88="costas"),"sem ocorrência","ocorrência")))</f>
        <v/>
      </c>
      <c r="O88" s="9" t="n"/>
      <c r="P88" s="10" t="n"/>
      <c r="Q88" s="11" t="n"/>
      <c r="R88" s="11" t="n"/>
      <c r="S88" s="11" t="n"/>
      <c r="T88" s="9" t="n"/>
      <c r="U88" s="9" t="n"/>
      <c r="V88" s="8">
        <f>IF(OR(N88="",N88="revisão manual",U88=""),"",IF(OR(AND(U88&gt;0,N88="ocorrência"),AND(U88=0,N88="sem ocorrência")),"OK","FALHA"))</f>
        <v/>
      </c>
      <c r="W88" s="9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8">
        <f>IF(F89="","",IF(F89="misto","revisão manual",IF(OR(F89="pausa_curta",F89="mascara_abaixada",G89="costas"),"sem ocorrência","ocorrência")))</f>
        <v/>
      </c>
      <c r="O89" s="9" t="n"/>
      <c r="P89" s="10" t="n"/>
      <c r="Q89" s="11" t="n"/>
      <c r="R89" s="11" t="n"/>
      <c r="S89" s="11" t="n"/>
      <c r="T89" s="9" t="n"/>
      <c r="U89" s="9" t="n"/>
      <c r="V89" s="8">
        <f>IF(OR(N89="",N89="revisão manual",U89=""),"",IF(OR(AND(U89&gt;0,N89="ocorrência"),AND(U89=0,N89="sem ocorrência")),"OK","FALHA"))</f>
        <v/>
      </c>
      <c r="W89" s="9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8">
        <f>IF(F90="","",IF(F90="misto","revisão manual",IF(OR(F90="pausa_curta",F90="mascara_abaixada",G90="costas"),"sem ocorrência","ocorrência")))</f>
        <v/>
      </c>
      <c r="O90" s="9" t="n"/>
      <c r="P90" s="10" t="n"/>
      <c r="Q90" s="11" t="n"/>
      <c r="R90" s="11" t="n"/>
      <c r="S90" s="11" t="n"/>
      <c r="T90" s="9" t="n"/>
      <c r="U90" s="9" t="n"/>
      <c r="V90" s="8">
        <f>IF(OR(N90="",N90="revisão manual",U90=""),"",IF(OR(AND(U90&gt;0,N90="ocorrência"),AND(U90=0,N90="sem ocorrência")),"OK","FALHA"))</f>
        <v/>
      </c>
      <c r="W90" s="9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8">
        <f>IF(F91="","",IF(F91="misto","revisão manual",IF(OR(F91="pausa_curta",F91="mascara_abaixada",G91="costas"),"sem ocorrência","ocorrência")))</f>
        <v/>
      </c>
      <c r="O91" s="9" t="n"/>
      <c r="P91" s="10" t="n"/>
      <c r="Q91" s="11" t="n"/>
      <c r="R91" s="11" t="n"/>
      <c r="S91" s="11" t="n"/>
      <c r="T91" s="9" t="n"/>
      <c r="U91" s="9" t="n"/>
      <c r="V91" s="8">
        <f>IF(OR(N91="",N91="revisão manual",U91=""),"",IF(OR(AND(U91&gt;0,N91="ocorrência"),AND(U91=0,N91="sem ocorrência")),"OK","FALHA"))</f>
        <v/>
      </c>
      <c r="W91" s="9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8">
        <f>IF(F92="","",IF(F92="misto","revisão manual",IF(OR(F92="pausa_curta",F92="mascara_abaixada",G92="costas"),"sem ocorrência","ocorrência")))</f>
        <v/>
      </c>
      <c r="O92" s="9" t="n"/>
      <c r="P92" s="10" t="n"/>
      <c r="Q92" s="11" t="n"/>
      <c r="R92" s="11" t="n"/>
      <c r="S92" s="11" t="n"/>
      <c r="T92" s="9" t="n"/>
      <c r="U92" s="9" t="n"/>
      <c r="V92" s="8">
        <f>IF(OR(N92="",N92="revisão manual",U92=""),"",IF(OR(AND(U92&gt;0,N92="ocorrência"),AND(U92=0,N92="sem ocorrência")),"OK","FALHA"))</f>
        <v/>
      </c>
      <c r="W92" s="9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8">
        <f>IF(F93="","",IF(F93="misto","revisão manual",IF(OR(F93="pausa_curta",F93="mascara_abaixada",G93="costas"),"sem ocorrência","ocorrência")))</f>
        <v/>
      </c>
      <c r="O93" s="9" t="n"/>
      <c r="P93" s="10" t="n"/>
      <c r="Q93" s="11" t="n"/>
      <c r="R93" s="11" t="n"/>
      <c r="S93" s="11" t="n"/>
      <c r="T93" s="9" t="n"/>
      <c r="U93" s="9" t="n"/>
      <c r="V93" s="8">
        <f>IF(OR(N93="",N93="revisão manual",U93=""),"",IF(OR(AND(U93&gt;0,N93="ocorrência"),AND(U93=0,N93="sem ocorrência")),"OK","FALHA"))</f>
        <v/>
      </c>
      <c r="W93" s="9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8">
        <f>IF(F94="","",IF(F94="misto","revisão manual",IF(OR(F94="pausa_curta",F94="mascara_abaixada",G94="costas"),"sem ocorrência","ocorrência")))</f>
        <v/>
      </c>
      <c r="O94" s="9" t="n"/>
      <c r="P94" s="10" t="n"/>
      <c r="Q94" s="11" t="n"/>
      <c r="R94" s="11" t="n"/>
      <c r="S94" s="11" t="n"/>
      <c r="T94" s="9" t="n"/>
      <c r="U94" s="9" t="n"/>
      <c r="V94" s="8">
        <f>IF(OR(N94="",N94="revisão manual",U94=""),"",IF(OR(AND(U94&gt;0,N94="ocorrência"),AND(U94=0,N94="sem ocorrência")),"OK","FALHA"))</f>
        <v/>
      </c>
      <c r="W94" s="9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8">
        <f>IF(F95="","",IF(F95="misto","revisão manual",IF(OR(F95="pausa_curta",F95="mascara_abaixada",G95="costas"),"sem ocorrência","ocorrência")))</f>
        <v/>
      </c>
      <c r="O95" s="9" t="n"/>
      <c r="P95" s="10" t="n"/>
      <c r="Q95" s="11" t="n"/>
      <c r="R95" s="11" t="n"/>
      <c r="S95" s="11" t="n"/>
      <c r="T95" s="9" t="n"/>
      <c r="U95" s="9" t="n"/>
      <c r="V95" s="8">
        <f>IF(OR(N95="",N95="revisão manual",U95=""),"",IF(OR(AND(U95&gt;0,N95="ocorrência"),AND(U95=0,N95="sem ocorrência")),"OK","FALHA"))</f>
        <v/>
      </c>
      <c r="W95" s="9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8">
        <f>IF(F96="","",IF(F96="misto","revisão manual",IF(OR(F96="pausa_curta",F96="mascara_abaixada",G96="costas"),"sem ocorrência","ocorrência")))</f>
        <v/>
      </c>
      <c r="O96" s="9" t="n"/>
      <c r="P96" s="10" t="n"/>
      <c r="Q96" s="11" t="n"/>
      <c r="R96" s="11" t="n"/>
      <c r="S96" s="11" t="n"/>
      <c r="T96" s="9" t="n"/>
      <c r="U96" s="9" t="n"/>
      <c r="V96" s="8">
        <f>IF(OR(N96="",N96="revisão manual",U96=""),"",IF(OR(AND(U96&gt;0,N96="ocorrência"),AND(U96=0,N96="sem ocorrência")),"OK","FALHA"))</f>
        <v/>
      </c>
      <c r="W96" s="9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8">
        <f>IF(F97="","",IF(F97="misto","revisão manual",IF(OR(F97="pausa_curta",F97="mascara_abaixada",G97="costas"),"sem ocorrência","ocorrência")))</f>
        <v/>
      </c>
      <c r="O97" s="9" t="n"/>
      <c r="P97" s="10" t="n"/>
      <c r="Q97" s="11" t="n"/>
      <c r="R97" s="11" t="n"/>
      <c r="S97" s="11" t="n"/>
      <c r="T97" s="9" t="n"/>
      <c r="U97" s="9" t="n"/>
      <c r="V97" s="8">
        <f>IF(OR(N97="",N97="revisão manual",U97=""),"",IF(OR(AND(U97&gt;0,N97="ocorrência"),AND(U97=0,N97="sem ocorrência")),"OK","FALHA"))</f>
        <v/>
      </c>
      <c r="W97" s="9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8">
        <f>IF(F98="","",IF(F98="misto","revisão manual",IF(OR(F98="pausa_curta",F98="mascara_abaixada",G98="costas"),"sem ocorrência","ocorrência")))</f>
        <v/>
      </c>
      <c r="O98" s="9" t="n"/>
      <c r="P98" s="10" t="n"/>
      <c r="Q98" s="11" t="n"/>
      <c r="R98" s="11" t="n"/>
      <c r="S98" s="11" t="n"/>
      <c r="T98" s="9" t="n"/>
      <c r="U98" s="9" t="n"/>
      <c r="V98" s="8">
        <f>IF(OR(N98="",N98="revisão manual",U98=""),"",IF(OR(AND(U98&gt;0,N98="ocorrência"),AND(U98=0,N98="sem ocorrência")),"OK","FALHA"))</f>
        <v/>
      </c>
      <c r="W98" s="9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8">
        <f>IF(F99="","",IF(F99="misto","revisão manual",IF(OR(F99="pausa_curta",F99="mascara_abaixada",G99="costas"),"sem ocorrência","ocorrência")))</f>
        <v/>
      </c>
      <c r="O99" s="9" t="n"/>
      <c r="P99" s="10" t="n"/>
      <c r="Q99" s="11" t="n"/>
      <c r="R99" s="11" t="n"/>
      <c r="S99" s="11" t="n"/>
      <c r="T99" s="9" t="n"/>
      <c r="U99" s="9" t="n"/>
      <c r="V99" s="8">
        <f>IF(OR(N99="",N99="revisão manual",U99=""),"",IF(OR(AND(U99&gt;0,N99="ocorrência"),AND(U99=0,N99="sem ocorrência")),"OK","FALHA"))</f>
        <v/>
      </c>
      <c r="W99" s="9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8">
        <f>IF(F100="","",IF(F100="misto","revisão manual",IF(OR(F100="pausa_curta",F100="mascara_abaixada",G100="costas"),"sem ocorrência","ocorrência")))</f>
        <v/>
      </c>
      <c r="O100" s="9" t="n"/>
      <c r="P100" s="10" t="n"/>
      <c r="Q100" s="11" t="n"/>
      <c r="R100" s="11" t="n"/>
      <c r="S100" s="11" t="n"/>
      <c r="T100" s="9" t="n"/>
      <c r="U100" s="9" t="n"/>
      <c r="V100" s="8">
        <f>IF(OR(N100="",N100="revisão manual",U100=""),"",IF(OR(AND(U100&gt;0,N100="ocorrência"),AND(U100=0,N100="sem ocorrência")),"OK","FALHA"))</f>
        <v/>
      </c>
      <c r="W100" s="9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8">
        <f>IF(F101="","",IF(F101="misto","revisão manual",IF(OR(F101="pausa_curta",F101="mascara_abaixada",G101="costas"),"sem ocorrência","ocorrência")))</f>
        <v/>
      </c>
      <c r="O101" s="9" t="n"/>
      <c r="P101" s="10" t="n"/>
      <c r="Q101" s="11" t="n"/>
      <c r="R101" s="11" t="n"/>
      <c r="S101" s="11" t="n"/>
      <c r="T101" s="9" t="n"/>
      <c r="U101" s="9" t="n"/>
      <c r="V101" s="8">
        <f>IF(OR(N101="",N101="revisão manual",U101=""),"",IF(OR(AND(U101&gt;0,N101="ocorrência"),AND(U101=0,N101="sem ocorrência")),"OK","FALHA"))</f>
        <v/>
      </c>
      <c r="W101" s="9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8">
        <f>IF(F102="","",IF(F102="misto","revisão manual",IF(OR(F102="pausa_curta",F102="mascara_abaixada",G102="costas"),"sem ocorrência","ocorrência")))</f>
        <v/>
      </c>
      <c r="O102" s="9" t="n"/>
      <c r="P102" s="10" t="n"/>
      <c r="Q102" s="11" t="n"/>
      <c r="R102" s="11" t="n"/>
      <c r="S102" s="11" t="n"/>
      <c r="T102" s="9" t="n"/>
      <c r="U102" s="9" t="n"/>
      <c r="V102" s="8">
        <f>IF(OR(N102="",N102="revisão manual",U102=""),"",IF(OR(AND(U102&gt;0,N102="ocorrência"),AND(U102=0,N102="sem ocorrência")),"OK","FALHA"))</f>
        <v/>
      </c>
      <c r="W102" s="9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8">
        <f>IF(F103="","",IF(F103="misto","revisão manual",IF(OR(F103="pausa_curta",F103="mascara_abaixada",G103="costas"),"sem ocorrência","ocorrência")))</f>
        <v/>
      </c>
      <c r="O103" s="9" t="n"/>
      <c r="P103" s="10" t="n"/>
      <c r="Q103" s="11" t="n"/>
      <c r="R103" s="11" t="n"/>
      <c r="S103" s="11" t="n"/>
      <c r="T103" s="9" t="n"/>
      <c r="U103" s="9" t="n"/>
      <c r="V103" s="8">
        <f>IF(OR(N103="",N103="revisão manual",U103=""),"",IF(OR(AND(U103&gt;0,N103="ocorrência"),AND(U103=0,N103="sem ocorrência")),"OK","FALHA"))</f>
        <v/>
      </c>
      <c r="W103" s="9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8">
        <f>IF(F104="","",IF(F104="misto","revisão manual",IF(OR(F104="pausa_curta",F104="mascara_abaixada",G104="costas"),"sem ocorrência","ocorrência")))</f>
        <v/>
      </c>
      <c r="O104" s="9" t="n"/>
      <c r="P104" s="10" t="n"/>
      <c r="Q104" s="11" t="n"/>
      <c r="R104" s="11" t="n"/>
      <c r="S104" s="11" t="n"/>
      <c r="T104" s="9" t="n"/>
      <c r="U104" s="9" t="n"/>
      <c r="V104" s="8">
        <f>IF(OR(N104="",N104="revisão manual",U104=""),"",IF(OR(AND(U104&gt;0,N104="ocorrência"),AND(U104=0,N104="sem ocorrência")),"OK","FALHA"))</f>
        <v/>
      </c>
      <c r="W104" s="9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8">
        <f>IF(F105="","",IF(F105="misto","revisão manual",IF(OR(F105="pausa_curta",F105="mascara_abaixada",G105="costas"),"sem ocorrência","ocorrência")))</f>
        <v/>
      </c>
      <c r="O105" s="9" t="n"/>
      <c r="P105" s="10" t="n"/>
      <c r="Q105" s="11" t="n"/>
      <c r="R105" s="11" t="n"/>
      <c r="S105" s="11" t="n"/>
      <c r="T105" s="9" t="n"/>
      <c r="U105" s="9" t="n"/>
      <c r="V105" s="8">
        <f>IF(OR(N105="",N105="revisão manual",U105=""),"",IF(OR(AND(U105&gt;0,N105="ocorrência"),AND(U105=0,N105="sem ocorrência")),"OK","FALHA"))</f>
        <v/>
      </c>
      <c r="W105" s="9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8">
        <f>IF(F106="","",IF(F106="misto","revisão manual",IF(OR(F106="pausa_curta",F106="mascara_abaixada",G106="costas"),"sem ocorrência","ocorrência")))</f>
        <v/>
      </c>
      <c r="O106" s="9" t="n"/>
      <c r="P106" s="10" t="n"/>
      <c r="Q106" s="11" t="n"/>
      <c r="R106" s="11" t="n"/>
      <c r="S106" s="11" t="n"/>
      <c r="T106" s="9" t="n"/>
      <c r="U106" s="9" t="n"/>
      <c r="V106" s="8">
        <f>IF(OR(N106="",N106="revisão manual",U106=""),"",IF(OR(AND(U106&gt;0,N106="ocorrência"),AND(U106=0,N106="sem ocorrência")),"OK","FALHA"))</f>
        <v/>
      </c>
      <c r="W106" s="9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8">
        <f>IF(F107="","",IF(F107="misto","revisão manual",IF(OR(F107="pausa_curta",F107="mascara_abaixada",G107="costas"),"sem ocorrência","ocorrência")))</f>
        <v/>
      </c>
      <c r="O107" s="9" t="n"/>
      <c r="P107" s="10" t="n"/>
      <c r="Q107" s="11" t="n"/>
      <c r="R107" s="11" t="n"/>
      <c r="S107" s="11" t="n"/>
      <c r="T107" s="9" t="n"/>
      <c r="U107" s="9" t="n"/>
      <c r="V107" s="8">
        <f>IF(OR(N107="",N107="revisão manual",U107=""),"",IF(OR(AND(U107&gt;0,N107="ocorrência"),AND(U107=0,N107="sem ocorrência")),"OK","FALHA"))</f>
        <v/>
      </c>
      <c r="W107" s="9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8">
        <f>IF(F108="","",IF(F108="misto","revisão manual",IF(OR(F108="pausa_curta",F108="mascara_abaixada",G108="costas"),"sem ocorrência","ocorrência")))</f>
        <v/>
      </c>
      <c r="O108" s="9" t="n"/>
      <c r="P108" s="10" t="n"/>
      <c r="Q108" s="11" t="n"/>
      <c r="R108" s="11" t="n"/>
      <c r="S108" s="11" t="n"/>
      <c r="T108" s="9" t="n"/>
      <c r="U108" s="9" t="n"/>
      <c r="V108" s="8">
        <f>IF(OR(N108="",N108="revisão manual",U108=""),"",IF(OR(AND(U108&gt;0,N108="ocorrência"),AND(U108=0,N108="sem ocorrência")),"OK","FALHA"))</f>
        <v/>
      </c>
      <c r="W108" s="9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8">
        <f>IF(F109="","",IF(F109="misto","revisão manual",IF(OR(F109="pausa_curta",F109="mascara_abaixada",G109="costas"),"sem ocorrência","ocorrência")))</f>
        <v/>
      </c>
      <c r="O109" s="9" t="n"/>
      <c r="P109" s="10" t="n"/>
      <c r="Q109" s="11" t="n"/>
      <c r="R109" s="11" t="n"/>
      <c r="S109" s="11" t="n"/>
      <c r="T109" s="9" t="n"/>
      <c r="U109" s="9" t="n"/>
      <c r="V109" s="8">
        <f>IF(OR(N109="",N109="revisão manual",U109=""),"",IF(OR(AND(U109&gt;0,N109="ocorrência"),AND(U109=0,N109="sem ocorrência")),"OK","FALHA"))</f>
        <v/>
      </c>
      <c r="W109" s="9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8">
        <f>IF(F110="","",IF(F110="misto","revisão manual",IF(OR(F110="pausa_curta",F110="mascara_abaixada",G110="costas"),"sem ocorrência","ocorrência")))</f>
        <v/>
      </c>
      <c r="O110" s="9" t="n"/>
      <c r="P110" s="10" t="n"/>
      <c r="Q110" s="11" t="n"/>
      <c r="R110" s="11" t="n"/>
      <c r="S110" s="11" t="n"/>
      <c r="T110" s="9" t="n"/>
      <c r="U110" s="9" t="n"/>
      <c r="V110" s="8">
        <f>IF(OR(N110="",N110="revisão manual",U110=""),"",IF(OR(AND(U110&gt;0,N110="ocorrência"),AND(U110=0,N110="sem ocorrência")),"OK","FALHA"))</f>
        <v/>
      </c>
      <c r="W110" s="9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8">
        <f>IF(F111="","",IF(F111="misto","revisão manual",IF(OR(F111="pausa_curta",F111="mascara_abaixada",G111="costas"),"sem ocorrência","ocorrência")))</f>
        <v/>
      </c>
      <c r="O111" s="9" t="n"/>
      <c r="P111" s="10" t="n"/>
      <c r="Q111" s="11" t="n"/>
      <c r="R111" s="11" t="n"/>
      <c r="S111" s="11" t="n"/>
      <c r="T111" s="9" t="n"/>
      <c r="U111" s="9" t="n"/>
      <c r="V111" s="8">
        <f>IF(OR(N111="",N111="revisão manual",U111=""),"",IF(OR(AND(U111&gt;0,N111="ocorrência"),AND(U111=0,N111="sem ocorrência")),"OK","FALHA"))</f>
        <v/>
      </c>
      <c r="W111" s="9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8">
        <f>IF(F112="","",IF(F112="misto","revisão manual",IF(OR(F112="pausa_curta",F112="mascara_abaixada",G112="costas"),"sem ocorrência","ocorrência")))</f>
        <v/>
      </c>
      <c r="O112" s="9" t="n"/>
      <c r="P112" s="10" t="n"/>
      <c r="Q112" s="11" t="n"/>
      <c r="R112" s="11" t="n"/>
      <c r="S112" s="11" t="n"/>
      <c r="T112" s="9" t="n"/>
      <c r="U112" s="9" t="n"/>
      <c r="V112" s="8">
        <f>IF(OR(N112="",N112="revisão manual",U112=""),"",IF(OR(AND(U112&gt;0,N112="ocorrência"),AND(U112=0,N112="sem ocorrência")),"OK","FALHA"))</f>
        <v/>
      </c>
      <c r="W112" s="9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8">
        <f>IF(F113="","",IF(F113="misto","revisão manual",IF(OR(F113="pausa_curta",F113="mascara_abaixada",G113="costas"),"sem ocorrência","ocorrência")))</f>
        <v/>
      </c>
      <c r="O113" s="9" t="n"/>
      <c r="P113" s="10" t="n"/>
      <c r="Q113" s="11" t="n"/>
      <c r="R113" s="11" t="n"/>
      <c r="S113" s="11" t="n"/>
      <c r="T113" s="9" t="n"/>
      <c r="U113" s="9" t="n"/>
      <c r="V113" s="8">
        <f>IF(OR(N113="",N113="revisão manual",U113=""),"",IF(OR(AND(U113&gt;0,N113="ocorrência"),AND(U113=0,N113="sem ocorrência")),"OK","FALHA"))</f>
        <v/>
      </c>
      <c r="W113" s="9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8">
        <f>IF(F114="","",IF(F114="misto","revisão manual",IF(OR(F114="pausa_curta",F114="mascara_abaixada",G114="costas"),"sem ocorrência","ocorrência")))</f>
        <v/>
      </c>
      <c r="O114" s="9" t="n"/>
      <c r="P114" s="10" t="n"/>
      <c r="Q114" s="11" t="n"/>
      <c r="R114" s="11" t="n"/>
      <c r="S114" s="11" t="n"/>
      <c r="T114" s="9" t="n"/>
      <c r="U114" s="9" t="n"/>
      <c r="V114" s="8">
        <f>IF(OR(N114="",N114="revisão manual",U114=""),"",IF(OR(AND(U114&gt;0,N114="ocorrência"),AND(U114=0,N114="sem ocorrência")),"OK","FALHA"))</f>
        <v/>
      </c>
      <c r="W114" s="9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8">
        <f>IF(F115="","",IF(F115="misto","revisão manual",IF(OR(F115="pausa_curta",F115="mascara_abaixada",G115="costas"),"sem ocorrência","ocorrência")))</f>
        <v/>
      </c>
      <c r="O115" s="9" t="n"/>
      <c r="P115" s="10" t="n"/>
      <c r="Q115" s="11" t="n"/>
      <c r="R115" s="11" t="n"/>
      <c r="S115" s="11" t="n"/>
      <c r="T115" s="9" t="n"/>
      <c r="U115" s="9" t="n"/>
      <c r="V115" s="8">
        <f>IF(OR(N115="",N115="revisão manual",U115=""),"",IF(OR(AND(U115&gt;0,N115="ocorrência"),AND(U115=0,N115="sem ocorrência")),"OK","FALHA"))</f>
        <v/>
      </c>
      <c r="W115" s="9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8">
        <f>IF(F116="","",IF(F116="misto","revisão manual",IF(OR(F116="pausa_curta",F116="mascara_abaixada",G116="costas"),"sem ocorrência","ocorrência")))</f>
        <v/>
      </c>
      <c r="O116" s="9" t="n"/>
      <c r="P116" s="10" t="n"/>
      <c r="Q116" s="11" t="n"/>
      <c r="R116" s="11" t="n"/>
      <c r="S116" s="11" t="n"/>
      <c r="T116" s="9" t="n"/>
      <c r="U116" s="9" t="n"/>
      <c r="V116" s="8">
        <f>IF(OR(N116="",N116="revisão manual",U116=""),"",IF(OR(AND(U116&gt;0,N116="ocorrência"),AND(U116=0,N116="sem ocorrência")),"OK","FALHA"))</f>
        <v/>
      </c>
      <c r="W116" s="9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8">
        <f>IF(F117="","",IF(F117="misto","revisão manual",IF(OR(F117="pausa_curta",F117="mascara_abaixada",G117="costas"),"sem ocorrência","ocorrência")))</f>
        <v/>
      </c>
      <c r="O117" s="9" t="n"/>
      <c r="P117" s="10" t="n"/>
      <c r="Q117" s="11" t="n"/>
      <c r="R117" s="11" t="n"/>
      <c r="S117" s="11" t="n"/>
      <c r="T117" s="9" t="n"/>
      <c r="U117" s="9" t="n"/>
      <c r="V117" s="8">
        <f>IF(OR(N117="",N117="revisão manual",U117=""),"",IF(OR(AND(U117&gt;0,N117="ocorrência"),AND(U117=0,N117="sem ocorrência")),"OK","FALHA"))</f>
        <v/>
      </c>
      <c r="W117" s="9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8">
        <f>IF(F118="","",IF(F118="misto","revisão manual",IF(OR(F118="pausa_curta",F118="mascara_abaixada",G118="costas"),"sem ocorrência","ocorrência")))</f>
        <v/>
      </c>
      <c r="O118" s="9" t="n"/>
      <c r="P118" s="10" t="n"/>
      <c r="Q118" s="11" t="n"/>
      <c r="R118" s="11" t="n"/>
      <c r="S118" s="11" t="n"/>
      <c r="T118" s="9" t="n"/>
      <c r="U118" s="9" t="n"/>
      <c r="V118" s="8">
        <f>IF(OR(N118="",N118="revisão manual",U118=""),"",IF(OR(AND(U118&gt;0,N118="ocorrência"),AND(U118=0,N118="sem ocorrência")),"OK","FALHA"))</f>
        <v/>
      </c>
      <c r="W118" s="9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8">
        <f>IF(F119="","",IF(F119="misto","revisão manual",IF(OR(F119="pausa_curta",F119="mascara_abaixada",G119="costas"),"sem ocorrência","ocorrência")))</f>
        <v/>
      </c>
      <c r="O119" s="9" t="n"/>
      <c r="P119" s="10" t="n"/>
      <c r="Q119" s="11" t="n"/>
      <c r="R119" s="11" t="n"/>
      <c r="S119" s="11" t="n"/>
      <c r="T119" s="9" t="n"/>
      <c r="U119" s="9" t="n"/>
      <c r="V119" s="8">
        <f>IF(OR(N119="",N119="revisão manual",U119=""),"",IF(OR(AND(U119&gt;0,N119="ocorrência"),AND(U119=0,N119="sem ocorrência")),"OK","FALHA"))</f>
        <v/>
      </c>
      <c r="W119" s="9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8">
        <f>IF(F120="","",IF(F120="misto","revisão manual",IF(OR(F120="pausa_curta",F120="mascara_abaixada",G120="costas"),"sem ocorrência","ocorrência")))</f>
        <v/>
      </c>
      <c r="O120" s="9" t="n"/>
      <c r="P120" s="10" t="n"/>
      <c r="Q120" s="11" t="n"/>
      <c r="R120" s="11" t="n"/>
      <c r="S120" s="11" t="n"/>
      <c r="T120" s="9" t="n"/>
      <c r="U120" s="9" t="n"/>
      <c r="V120" s="8">
        <f>IF(OR(N120="",N120="revisão manual",U120=""),"",IF(OR(AND(U120&gt;0,N120="ocorrência"),AND(U120=0,N120="sem ocorrência")),"OK","FALHA"))</f>
        <v/>
      </c>
      <c r="W120" s="9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8">
        <f>IF(F121="","",IF(F121="misto","revisão manual",IF(OR(F121="pausa_curta",F121="mascara_abaixada",G121="costas"),"sem ocorrência","ocorrência")))</f>
        <v/>
      </c>
      <c r="O121" s="9" t="n"/>
      <c r="P121" s="10" t="n"/>
      <c r="Q121" s="11" t="n"/>
      <c r="R121" s="11" t="n"/>
      <c r="S121" s="11" t="n"/>
      <c r="T121" s="9" t="n"/>
      <c r="U121" s="9" t="n"/>
      <c r="V121" s="8">
        <f>IF(OR(N121="",N121="revisão manual",U121=""),"",IF(OR(AND(U121&gt;0,N121="ocorrência"),AND(U121=0,N121="sem ocorrência")),"OK","FALHA"))</f>
        <v/>
      </c>
      <c r="W121" s="9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8">
        <f>IF(F122="","",IF(F122="misto","revisão manual",IF(OR(F122="pausa_curta",F122="mascara_abaixada",G122="costas"),"sem ocorrência","ocorrência")))</f>
        <v/>
      </c>
      <c r="O122" s="9" t="n"/>
      <c r="P122" s="10" t="n"/>
      <c r="Q122" s="11" t="n"/>
      <c r="R122" s="11" t="n"/>
      <c r="S122" s="11" t="n"/>
      <c r="T122" s="9" t="n"/>
      <c r="U122" s="9" t="n"/>
      <c r="V122" s="8">
        <f>IF(OR(N122="",N122="revisão manual",U122=""),"",IF(OR(AND(U122&gt;0,N122="ocorrência"),AND(U122=0,N122="sem ocorrência")),"OK","FALHA"))</f>
        <v/>
      </c>
      <c r="W122" s="9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8">
        <f>IF(F123="","",IF(F123="misto","revisão manual",IF(OR(F123="pausa_curta",F123="mascara_abaixada",G123="costas"),"sem ocorrência","ocorrência")))</f>
        <v/>
      </c>
      <c r="O123" s="9" t="n"/>
      <c r="P123" s="10" t="n"/>
      <c r="Q123" s="11" t="n"/>
      <c r="R123" s="11" t="n"/>
      <c r="S123" s="11" t="n"/>
      <c r="T123" s="9" t="n"/>
      <c r="U123" s="9" t="n"/>
      <c r="V123" s="8">
        <f>IF(OR(N123="",N123="revisão manual",U123=""),"",IF(OR(AND(U123&gt;0,N123="ocorrência"),AND(U123=0,N123="sem ocorrência")),"OK","FALHA"))</f>
        <v/>
      </c>
      <c r="W123" s="9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8">
        <f>IF(F124="","",IF(F124="misto","revisão manual",IF(OR(F124="pausa_curta",F124="mascara_abaixada",G124="costas"),"sem ocorrência","ocorrência")))</f>
        <v/>
      </c>
      <c r="O124" s="9" t="n"/>
      <c r="P124" s="10" t="n"/>
      <c r="Q124" s="11" t="n"/>
      <c r="R124" s="11" t="n"/>
      <c r="S124" s="11" t="n"/>
      <c r="T124" s="9" t="n"/>
      <c r="U124" s="9" t="n"/>
      <c r="V124" s="8">
        <f>IF(OR(N124="",N124="revisão manual",U124=""),"",IF(OR(AND(U124&gt;0,N124="ocorrência"),AND(U124=0,N124="sem ocorrência")),"OK","FALHA"))</f>
        <v/>
      </c>
      <c r="W124" s="9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8">
        <f>IF(F125="","",IF(F125="misto","revisão manual",IF(OR(F125="pausa_curta",F125="mascara_abaixada",G125="costas"),"sem ocorrência","ocorrência")))</f>
        <v/>
      </c>
      <c r="O125" s="9" t="n"/>
      <c r="P125" s="10" t="n"/>
      <c r="Q125" s="11" t="n"/>
      <c r="R125" s="11" t="n"/>
      <c r="S125" s="11" t="n"/>
      <c r="T125" s="9" t="n"/>
      <c r="U125" s="9" t="n"/>
      <c r="V125" s="8">
        <f>IF(OR(N125="",N125="revisão manual",U125=""),"",IF(OR(AND(U125&gt;0,N125="ocorrência"),AND(U125=0,N125="sem ocorrência")),"OK","FALHA"))</f>
        <v/>
      </c>
      <c r="W125" s="9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8">
        <f>IF(F126="","",IF(F126="misto","revisão manual",IF(OR(F126="pausa_curta",F126="mascara_abaixada",G126="costas"),"sem ocorrência","ocorrência")))</f>
        <v/>
      </c>
      <c r="O126" s="9" t="n"/>
      <c r="P126" s="10" t="n"/>
      <c r="Q126" s="11" t="n"/>
      <c r="R126" s="11" t="n"/>
      <c r="S126" s="11" t="n"/>
      <c r="T126" s="9" t="n"/>
      <c r="U126" s="9" t="n"/>
      <c r="V126" s="8">
        <f>IF(OR(N126="",N126="revisão manual",U126=""),"",IF(OR(AND(U126&gt;0,N126="ocorrência"),AND(U126=0,N126="sem ocorrência")),"OK","FALHA"))</f>
        <v/>
      </c>
      <c r="W126" s="9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8">
        <f>IF(F127="","",IF(F127="misto","revisão manual",IF(OR(F127="pausa_curta",F127="mascara_abaixada",G127="costas"),"sem ocorrência","ocorrência")))</f>
        <v/>
      </c>
      <c r="O127" s="9" t="n"/>
      <c r="P127" s="10" t="n"/>
      <c r="Q127" s="11" t="n"/>
      <c r="R127" s="11" t="n"/>
      <c r="S127" s="11" t="n"/>
      <c r="T127" s="9" t="n"/>
      <c r="U127" s="9" t="n"/>
      <c r="V127" s="8">
        <f>IF(OR(N127="",N127="revisão manual",U127=""),"",IF(OR(AND(U127&gt;0,N127="ocorrência"),AND(U127=0,N127="sem ocorrência")),"OK","FALHA"))</f>
        <v/>
      </c>
      <c r="W127" s="9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8">
        <f>IF(F128="","",IF(F128="misto","revisão manual",IF(OR(F128="pausa_curta",F128="mascara_abaixada",G128="costas"),"sem ocorrência","ocorrência")))</f>
        <v/>
      </c>
      <c r="O128" s="9" t="n"/>
      <c r="P128" s="10" t="n"/>
      <c r="Q128" s="11" t="n"/>
      <c r="R128" s="11" t="n"/>
      <c r="S128" s="11" t="n"/>
      <c r="T128" s="9" t="n"/>
      <c r="U128" s="9" t="n"/>
      <c r="V128" s="8">
        <f>IF(OR(N128="",N128="revisão manual",U128=""),"",IF(OR(AND(U128&gt;0,N128="ocorrência"),AND(U128=0,N128="sem ocorrência")),"OK","FALHA"))</f>
        <v/>
      </c>
      <c r="W128" s="9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8">
        <f>IF(F129="","",IF(F129="misto","revisão manual",IF(OR(F129="pausa_curta",F129="mascara_abaixada",G129="costas"),"sem ocorrência","ocorrência")))</f>
        <v/>
      </c>
      <c r="O129" s="9" t="n"/>
      <c r="P129" s="10" t="n"/>
      <c r="Q129" s="11" t="n"/>
      <c r="R129" s="11" t="n"/>
      <c r="S129" s="11" t="n"/>
      <c r="T129" s="9" t="n"/>
      <c r="U129" s="9" t="n"/>
      <c r="V129" s="8">
        <f>IF(OR(N129="",N129="revisão manual",U129=""),"",IF(OR(AND(U129&gt;0,N129="ocorrência"),AND(U129=0,N129="sem ocorrência")),"OK","FALHA"))</f>
        <v/>
      </c>
      <c r="W129" s="9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8">
        <f>IF(F130="","",IF(F130="misto","revisão manual",IF(OR(F130="pausa_curta",F130="mascara_abaixada",G130="costas"),"sem ocorrência","ocorrência")))</f>
        <v/>
      </c>
      <c r="O130" s="9" t="n"/>
      <c r="P130" s="10" t="n"/>
      <c r="Q130" s="11" t="n"/>
      <c r="R130" s="11" t="n"/>
      <c r="S130" s="11" t="n"/>
      <c r="T130" s="9" t="n"/>
      <c r="U130" s="9" t="n"/>
      <c r="V130" s="8">
        <f>IF(OR(N130="",N130="revisão manual",U130=""),"",IF(OR(AND(U130&gt;0,N130="ocorrência"),AND(U130=0,N130="sem ocorrência")),"OK","FALHA"))</f>
        <v/>
      </c>
      <c r="W130" s="9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8">
        <f>IF(F131="","",IF(F131="misto","revisão manual",IF(OR(F131="pausa_curta",F131="mascara_abaixada",G131="costas"),"sem ocorrência","ocorrência")))</f>
        <v/>
      </c>
      <c r="O131" s="9" t="n"/>
      <c r="P131" s="10" t="n"/>
      <c r="Q131" s="11" t="n"/>
      <c r="R131" s="11" t="n"/>
      <c r="S131" s="11" t="n"/>
      <c r="T131" s="9" t="n"/>
      <c r="U131" s="9" t="n"/>
      <c r="V131" s="8">
        <f>IF(OR(N131="",N131="revisão manual",U131=""),"",IF(OR(AND(U131&gt;0,N131="ocorrência"),AND(U131=0,N131="sem ocorrência")),"OK","FALHA"))</f>
        <v/>
      </c>
      <c r="W131" s="9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8">
        <f>IF(F132="","",IF(F132="misto","revisão manual",IF(OR(F132="pausa_curta",F132="mascara_abaixada",G132="costas"),"sem ocorrência","ocorrência")))</f>
        <v/>
      </c>
      <c r="O132" s="9" t="n"/>
      <c r="P132" s="10" t="n"/>
      <c r="Q132" s="11" t="n"/>
      <c r="R132" s="11" t="n"/>
      <c r="S132" s="11" t="n"/>
      <c r="T132" s="9" t="n"/>
      <c r="U132" s="9" t="n"/>
      <c r="V132" s="8">
        <f>IF(OR(N132="",N132="revisão manual",U132=""),"",IF(OR(AND(U132&gt;0,N132="ocorrência"),AND(U132=0,N132="sem ocorrência")),"OK","FALHA"))</f>
        <v/>
      </c>
      <c r="W132" s="9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8">
        <f>IF(F133="","",IF(F133="misto","revisão manual",IF(OR(F133="pausa_curta",F133="mascara_abaixada",G133="costas"),"sem ocorrência","ocorrência")))</f>
        <v/>
      </c>
      <c r="O133" s="9" t="n"/>
      <c r="P133" s="10" t="n"/>
      <c r="Q133" s="11" t="n"/>
      <c r="R133" s="11" t="n"/>
      <c r="S133" s="11" t="n"/>
      <c r="T133" s="9" t="n"/>
      <c r="U133" s="9" t="n"/>
      <c r="V133" s="8">
        <f>IF(OR(N133="",N133="revisão manual",U133=""),"",IF(OR(AND(U133&gt;0,N133="ocorrência"),AND(U133=0,N133="sem ocorrência")),"OK","FALHA"))</f>
        <v/>
      </c>
      <c r="W133" s="9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8">
        <f>IF(F134="","",IF(F134="misto","revisão manual",IF(OR(F134="pausa_curta",F134="mascara_abaixada",G134="costas"),"sem ocorrência","ocorrência")))</f>
        <v/>
      </c>
      <c r="O134" s="9" t="n"/>
      <c r="P134" s="10" t="n"/>
      <c r="Q134" s="11" t="n"/>
      <c r="R134" s="11" t="n"/>
      <c r="S134" s="11" t="n"/>
      <c r="T134" s="9" t="n"/>
      <c r="U134" s="9" t="n"/>
      <c r="V134" s="8">
        <f>IF(OR(N134="",N134="revisão manual",U134=""),"",IF(OR(AND(U134&gt;0,N134="ocorrência"),AND(U134=0,N134="sem ocorrência")),"OK","FALHA"))</f>
        <v/>
      </c>
      <c r="W134" s="9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8">
        <f>IF(F135="","",IF(F135="misto","revisão manual",IF(OR(F135="pausa_curta",F135="mascara_abaixada",G135="costas"),"sem ocorrência","ocorrência")))</f>
        <v/>
      </c>
      <c r="O135" s="9" t="n"/>
      <c r="P135" s="10" t="n"/>
      <c r="Q135" s="11" t="n"/>
      <c r="R135" s="11" t="n"/>
      <c r="S135" s="11" t="n"/>
      <c r="T135" s="9" t="n"/>
      <c r="U135" s="9" t="n"/>
      <c r="V135" s="8">
        <f>IF(OR(N135="",N135="revisão manual",U135=""),"",IF(OR(AND(U135&gt;0,N135="ocorrência"),AND(U135=0,N135="sem ocorrência")),"OK","FALHA"))</f>
        <v/>
      </c>
      <c r="W135" s="9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8">
        <f>IF(F136="","",IF(F136="misto","revisão manual",IF(OR(F136="pausa_curta",F136="mascara_abaixada",G136="costas"),"sem ocorrência","ocorrência")))</f>
        <v/>
      </c>
      <c r="O136" s="9" t="n"/>
      <c r="P136" s="10" t="n"/>
      <c r="Q136" s="11" t="n"/>
      <c r="R136" s="11" t="n"/>
      <c r="S136" s="11" t="n"/>
      <c r="T136" s="9" t="n"/>
      <c r="U136" s="9" t="n"/>
      <c r="V136" s="8">
        <f>IF(OR(N136="",N136="revisão manual",U136=""),"",IF(OR(AND(U136&gt;0,N136="ocorrência"),AND(U136=0,N136="sem ocorrência")),"OK","FALHA"))</f>
        <v/>
      </c>
      <c r="W136" s="9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8">
        <f>IF(F137="","",IF(F137="misto","revisão manual",IF(OR(F137="pausa_curta",F137="mascara_abaixada",G137="costas"),"sem ocorrência","ocorrência")))</f>
        <v/>
      </c>
      <c r="O137" s="9" t="n"/>
      <c r="P137" s="10" t="n"/>
      <c r="Q137" s="11" t="n"/>
      <c r="R137" s="11" t="n"/>
      <c r="S137" s="11" t="n"/>
      <c r="T137" s="9" t="n"/>
      <c r="U137" s="9" t="n"/>
      <c r="V137" s="8">
        <f>IF(OR(N137="",N137="revisão manual",U137=""),"",IF(OR(AND(U137&gt;0,N137="ocorrência"),AND(U137=0,N137="sem ocorrência")),"OK","FALHA"))</f>
        <v/>
      </c>
      <c r="W137" s="9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8">
        <f>IF(F138="","",IF(F138="misto","revisão manual",IF(OR(F138="pausa_curta",F138="mascara_abaixada",G138="costas"),"sem ocorrência","ocorrência")))</f>
        <v/>
      </c>
      <c r="O138" s="9" t="n"/>
      <c r="P138" s="10" t="n"/>
      <c r="Q138" s="11" t="n"/>
      <c r="R138" s="11" t="n"/>
      <c r="S138" s="11" t="n"/>
      <c r="T138" s="9" t="n"/>
      <c r="U138" s="9" t="n"/>
      <c r="V138" s="8">
        <f>IF(OR(N138="",N138="revisão manual",U138=""),"",IF(OR(AND(U138&gt;0,N138="ocorrência"),AND(U138=0,N138="sem ocorrência")),"OK","FALHA"))</f>
        <v/>
      </c>
      <c r="W138" s="9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8">
        <f>IF(F139="","",IF(F139="misto","revisão manual",IF(OR(F139="pausa_curta",F139="mascara_abaixada",G139="costas"),"sem ocorrência","ocorrência")))</f>
        <v/>
      </c>
      <c r="O139" s="9" t="n"/>
      <c r="P139" s="10" t="n"/>
      <c r="Q139" s="11" t="n"/>
      <c r="R139" s="11" t="n"/>
      <c r="S139" s="11" t="n"/>
      <c r="T139" s="9" t="n"/>
      <c r="U139" s="9" t="n"/>
      <c r="V139" s="8">
        <f>IF(OR(N139="",N139="revisão manual",U139=""),"",IF(OR(AND(U139&gt;0,N139="ocorrência"),AND(U139=0,N139="sem ocorrência")),"OK","FALHA"))</f>
        <v/>
      </c>
      <c r="W139" s="9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8">
        <f>IF(F140="","",IF(F140="misto","revisão manual",IF(OR(F140="pausa_curta",F140="mascara_abaixada",G140="costas"),"sem ocorrência","ocorrência")))</f>
        <v/>
      </c>
      <c r="O140" s="9" t="n"/>
      <c r="P140" s="10" t="n"/>
      <c r="Q140" s="11" t="n"/>
      <c r="R140" s="11" t="n"/>
      <c r="S140" s="11" t="n"/>
      <c r="T140" s="9" t="n"/>
      <c r="U140" s="9" t="n"/>
      <c r="V140" s="8">
        <f>IF(OR(N140="",N140="revisão manual",U140=""),"",IF(OR(AND(U140&gt;0,N140="ocorrência"),AND(U140=0,N140="sem ocorrência")),"OK","FALHA"))</f>
        <v/>
      </c>
      <c r="W140" s="9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8">
        <f>IF(F141="","",IF(F141="misto","revisão manual",IF(OR(F141="pausa_curta",F141="mascara_abaixada",G141="costas"),"sem ocorrência","ocorrência")))</f>
        <v/>
      </c>
      <c r="O141" s="9" t="n"/>
      <c r="P141" s="10" t="n"/>
      <c r="Q141" s="11" t="n"/>
      <c r="R141" s="11" t="n"/>
      <c r="S141" s="11" t="n"/>
      <c r="T141" s="9" t="n"/>
      <c r="U141" s="9" t="n"/>
      <c r="V141" s="8">
        <f>IF(OR(N141="",N141="revisão manual",U141=""),"",IF(OR(AND(U141&gt;0,N141="ocorrência"),AND(U141=0,N141="sem ocorrência")),"OK","FALHA"))</f>
        <v/>
      </c>
      <c r="W141" s="9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8">
        <f>IF(F142="","",IF(F142="misto","revisão manual",IF(OR(F142="pausa_curta",F142="mascara_abaixada",G142="costas"),"sem ocorrência","ocorrência")))</f>
        <v/>
      </c>
      <c r="O142" s="9" t="n"/>
      <c r="P142" s="10" t="n"/>
      <c r="Q142" s="11" t="n"/>
      <c r="R142" s="11" t="n"/>
      <c r="S142" s="11" t="n"/>
      <c r="T142" s="9" t="n"/>
      <c r="U142" s="9" t="n"/>
      <c r="V142" s="8">
        <f>IF(OR(N142="",N142="revisão manual",U142=""),"",IF(OR(AND(U142&gt;0,N142="ocorrência"),AND(U142=0,N142="sem ocorrência")),"OK","FALHA"))</f>
        <v/>
      </c>
      <c r="W142" s="9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8">
        <f>IF(F143="","",IF(F143="misto","revisão manual",IF(OR(F143="pausa_curta",F143="mascara_abaixada",G143="costas"),"sem ocorrência","ocorrência")))</f>
        <v/>
      </c>
      <c r="O143" s="9" t="n"/>
      <c r="P143" s="10" t="n"/>
      <c r="Q143" s="11" t="n"/>
      <c r="R143" s="11" t="n"/>
      <c r="S143" s="11" t="n"/>
      <c r="T143" s="9" t="n"/>
      <c r="U143" s="9" t="n"/>
      <c r="V143" s="8">
        <f>IF(OR(N143="",N143="revisão manual",U143=""),"",IF(OR(AND(U143&gt;0,N143="ocorrência"),AND(U143=0,N143="sem ocorrência")),"OK","FALHA"))</f>
        <v/>
      </c>
      <c r="W143" s="9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8">
        <f>IF(F144="","",IF(F144="misto","revisão manual",IF(OR(F144="pausa_curta",F144="mascara_abaixada",G144="costas"),"sem ocorrência","ocorrência")))</f>
        <v/>
      </c>
      <c r="O144" s="9" t="n"/>
      <c r="P144" s="10" t="n"/>
      <c r="Q144" s="11" t="n"/>
      <c r="R144" s="11" t="n"/>
      <c r="S144" s="11" t="n"/>
      <c r="T144" s="9" t="n"/>
      <c r="U144" s="9" t="n"/>
      <c r="V144" s="8">
        <f>IF(OR(N144="",N144="revisão manual",U144=""),"",IF(OR(AND(U144&gt;0,N144="ocorrência"),AND(U144=0,N144="sem ocorrência")),"OK","FALHA"))</f>
        <v/>
      </c>
      <c r="W144" s="9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8">
        <f>IF(F145="","",IF(F145="misto","revisão manual",IF(OR(F145="pausa_curta",F145="mascara_abaixada",G145="costas"),"sem ocorrência","ocorrência")))</f>
        <v/>
      </c>
      <c r="O145" s="9" t="n"/>
      <c r="P145" s="10" t="n"/>
      <c r="Q145" s="11" t="n"/>
      <c r="R145" s="11" t="n"/>
      <c r="S145" s="11" t="n"/>
      <c r="T145" s="9" t="n"/>
      <c r="U145" s="9" t="n"/>
      <c r="V145" s="8">
        <f>IF(OR(N145="",N145="revisão manual",U145=""),"",IF(OR(AND(U145&gt;0,N145="ocorrência"),AND(U145=0,N145="sem ocorrência")),"OK","FALHA"))</f>
        <v/>
      </c>
      <c r="W145" s="9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8">
        <f>IF(F146="","",IF(F146="misto","revisão manual",IF(OR(F146="pausa_curta",F146="mascara_abaixada",G146="costas"),"sem ocorrência","ocorrência")))</f>
        <v/>
      </c>
      <c r="O146" s="9" t="n"/>
      <c r="P146" s="10" t="n"/>
      <c r="Q146" s="11" t="n"/>
      <c r="R146" s="11" t="n"/>
      <c r="S146" s="11" t="n"/>
      <c r="T146" s="9" t="n"/>
      <c r="U146" s="9" t="n"/>
      <c r="V146" s="8">
        <f>IF(OR(N146="",N146="revisão manual",U146=""),"",IF(OR(AND(U146&gt;0,N146="ocorrência"),AND(U146=0,N146="sem ocorrência")),"OK","FALHA"))</f>
        <v/>
      </c>
      <c r="W146" s="9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8">
        <f>IF(F147="","",IF(F147="misto","revisão manual",IF(OR(F147="pausa_curta",F147="mascara_abaixada",G147="costas"),"sem ocorrência","ocorrência")))</f>
        <v/>
      </c>
      <c r="O147" s="9" t="n"/>
      <c r="P147" s="10" t="n"/>
      <c r="Q147" s="11" t="n"/>
      <c r="R147" s="11" t="n"/>
      <c r="S147" s="11" t="n"/>
      <c r="T147" s="9" t="n"/>
      <c r="U147" s="9" t="n"/>
      <c r="V147" s="8">
        <f>IF(OR(N147="",N147="revisão manual",U147=""),"",IF(OR(AND(U147&gt;0,N147="ocorrência"),AND(U147=0,N147="sem ocorrência")),"OK","FALHA"))</f>
        <v/>
      </c>
      <c r="W147" s="9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8">
        <f>IF(F148="","",IF(F148="misto","revisão manual",IF(OR(F148="pausa_curta",F148="mascara_abaixada",G148="costas"),"sem ocorrência","ocorrência")))</f>
        <v/>
      </c>
      <c r="O148" s="9" t="n"/>
      <c r="P148" s="10" t="n"/>
      <c r="Q148" s="11" t="n"/>
      <c r="R148" s="11" t="n"/>
      <c r="S148" s="11" t="n"/>
      <c r="T148" s="9" t="n"/>
      <c r="U148" s="9" t="n"/>
      <c r="V148" s="8">
        <f>IF(OR(N148="",N148="revisão manual",U148=""),"",IF(OR(AND(U148&gt;0,N148="ocorrência"),AND(U148=0,N148="sem ocorrência")),"OK","FALHA"))</f>
        <v/>
      </c>
      <c r="W148" s="9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8">
        <f>IF(F149="","",IF(F149="misto","revisão manual",IF(OR(F149="pausa_curta",F149="mascara_abaixada",G149="costas"),"sem ocorrência","ocorrência")))</f>
        <v/>
      </c>
      <c r="O149" s="9" t="n"/>
      <c r="P149" s="10" t="n"/>
      <c r="Q149" s="11" t="n"/>
      <c r="R149" s="11" t="n"/>
      <c r="S149" s="11" t="n"/>
      <c r="T149" s="9" t="n"/>
      <c r="U149" s="9" t="n"/>
      <c r="V149" s="8">
        <f>IF(OR(N149="",N149="revisão manual",U149=""),"",IF(OR(AND(U149&gt;0,N149="ocorrência"),AND(U149=0,N149="sem ocorrência")),"OK","FALHA"))</f>
        <v/>
      </c>
      <c r="W149" s="9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8">
        <f>IF(F150="","",IF(F150="misto","revisão manual",IF(OR(F150="pausa_curta",F150="mascara_abaixada",G150="costas"),"sem ocorrência","ocorrência")))</f>
        <v/>
      </c>
      <c r="O150" s="9" t="n"/>
      <c r="P150" s="10" t="n"/>
      <c r="Q150" s="11" t="n"/>
      <c r="R150" s="11" t="n"/>
      <c r="S150" s="11" t="n"/>
      <c r="T150" s="9" t="n"/>
      <c r="U150" s="9" t="n"/>
      <c r="V150" s="8">
        <f>IF(OR(N150="",N150="revisão manual",U150=""),"",IF(OR(AND(U150&gt;0,N150="ocorrência"),AND(U150=0,N150="sem ocorrência")),"OK","FALHA"))</f>
        <v/>
      </c>
      <c r="W150" s="9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8">
        <f>IF(F151="","",IF(F151="misto","revisão manual",IF(OR(F151="pausa_curta",F151="mascara_abaixada",G151="costas"),"sem ocorrência","ocorrência")))</f>
        <v/>
      </c>
      <c r="O151" s="9" t="n"/>
      <c r="P151" s="10" t="n"/>
      <c r="Q151" s="11" t="n"/>
      <c r="R151" s="11" t="n"/>
      <c r="S151" s="11" t="n"/>
      <c r="T151" s="9" t="n"/>
      <c r="U151" s="9" t="n"/>
      <c r="V151" s="8">
        <f>IF(OR(N151="",N151="revisão manual",U151=""),"",IF(OR(AND(U151&gt;0,N151="ocorrência"),AND(U151=0,N151="sem ocorrência")),"OK","FALHA"))</f>
        <v/>
      </c>
      <c r="W151" s="9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8">
        <f>IF(F152="","",IF(F152="misto","revisão manual",IF(OR(F152="pausa_curta",F152="mascara_abaixada",G152="costas"),"sem ocorrência","ocorrência")))</f>
        <v/>
      </c>
      <c r="O152" s="9" t="n"/>
      <c r="P152" s="10" t="n"/>
      <c r="Q152" s="11" t="n"/>
      <c r="R152" s="11" t="n"/>
      <c r="S152" s="11" t="n"/>
      <c r="T152" s="9" t="n"/>
      <c r="U152" s="9" t="n"/>
      <c r="V152" s="8">
        <f>IF(OR(N152="",N152="revisão manual",U152=""),"",IF(OR(AND(U152&gt;0,N152="ocorrência"),AND(U152=0,N152="sem ocorrência")),"OK","FALHA"))</f>
        <v/>
      </c>
      <c r="W152" s="9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8">
        <f>IF(F153="","",IF(F153="misto","revisão manual",IF(OR(F153="pausa_curta",F153="mascara_abaixada",G153="costas"),"sem ocorrência","ocorrência")))</f>
        <v/>
      </c>
      <c r="O153" s="9" t="n"/>
      <c r="P153" s="10" t="n"/>
      <c r="Q153" s="11" t="n"/>
      <c r="R153" s="11" t="n"/>
      <c r="S153" s="11" t="n"/>
      <c r="T153" s="9" t="n"/>
      <c r="U153" s="9" t="n"/>
      <c r="V153" s="8">
        <f>IF(OR(N153="",N153="revisão manual",U153=""),"",IF(OR(AND(U153&gt;0,N153="ocorrência"),AND(U153=0,N153="sem ocorrência")),"OK","FALHA"))</f>
        <v/>
      </c>
      <c r="W153" s="9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8">
        <f>IF(F154="","",IF(F154="misto","revisão manual",IF(OR(F154="pausa_curta",F154="mascara_abaixada",G154="costas"),"sem ocorrência","ocorrência")))</f>
        <v/>
      </c>
      <c r="O154" s="9" t="n"/>
      <c r="P154" s="10" t="n"/>
      <c r="Q154" s="11" t="n"/>
      <c r="R154" s="11" t="n"/>
      <c r="S154" s="11" t="n"/>
      <c r="T154" s="9" t="n"/>
      <c r="U154" s="9" t="n"/>
      <c r="V154" s="8">
        <f>IF(OR(N154="",N154="revisão manual",U154=""),"",IF(OR(AND(U154&gt;0,N154="ocorrência"),AND(U154=0,N154="sem ocorrência")),"OK","FALHA"))</f>
        <v/>
      </c>
      <c r="W154" s="9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8">
        <f>IF(F155="","",IF(F155="misto","revisão manual",IF(OR(F155="pausa_curta",F155="mascara_abaixada",G155="costas"),"sem ocorrência","ocorrência")))</f>
        <v/>
      </c>
      <c r="O155" s="9" t="n"/>
      <c r="P155" s="10" t="n"/>
      <c r="Q155" s="11" t="n"/>
      <c r="R155" s="11" t="n"/>
      <c r="S155" s="11" t="n"/>
      <c r="T155" s="9" t="n"/>
      <c r="U155" s="9" t="n"/>
      <c r="V155" s="8">
        <f>IF(OR(N155="",N155="revisão manual",U155=""),"",IF(OR(AND(U155&gt;0,N155="ocorrência"),AND(U155=0,N155="sem ocorrência")),"OK","FALHA"))</f>
        <v/>
      </c>
      <c r="W155" s="9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8">
        <f>IF(F156="","",IF(F156="misto","revisão manual",IF(OR(F156="pausa_curta",F156="mascara_abaixada",G156="costas"),"sem ocorrência","ocorrência")))</f>
        <v/>
      </c>
      <c r="O156" s="9" t="n"/>
      <c r="P156" s="10" t="n"/>
      <c r="Q156" s="11" t="n"/>
      <c r="R156" s="11" t="n"/>
      <c r="S156" s="11" t="n"/>
      <c r="T156" s="9" t="n"/>
      <c r="U156" s="9" t="n"/>
      <c r="V156" s="8">
        <f>IF(OR(N156="",N156="revisão manual",U156=""),"",IF(OR(AND(U156&gt;0,N156="ocorrência"),AND(U156=0,N156="sem ocorrência")),"OK","FALHA"))</f>
        <v/>
      </c>
      <c r="W156" s="9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8">
        <f>IF(F157="","",IF(F157="misto","revisão manual",IF(OR(F157="pausa_curta",F157="mascara_abaixada",G157="costas"),"sem ocorrência","ocorrência")))</f>
        <v/>
      </c>
      <c r="O157" s="9" t="n"/>
      <c r="P157" s="10" t="n"/>
      <c r="Q157" s="11" t="n"/>
      <c r="R157" s="11" t="n"/>
      <c r="S157" s="11" t="n"/>
      <c r="T157" s="9" t="n"/>
      <c r="U157" s="9" t="n"/>
      <c r="V157" s="8">
        <f>IF(OR(N157="",N157="revisão manual",U157=""),"",IF(OR(AND(U157&gt;0,N157="ocorrência"),AND(U157=0,N157="sem ocorrência")),"OK","FALHA"))</f>
        <v/>
      </c>
      <c r="W157" s="9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8">
        <f>IF(F158="","",IF(F158="misto","revisão manual",IF(OR(F158="pausa_curta",F158="mascara_abaixada",G158="costas"),"sem ocorrência","ocorrência")))</f>
        <v/>
      </c>
      <c r="O158" s="9" t="n"/>
      <c r="P158" s="10" t="n"/>
      <c r="Q158" s="11" t="n"/>
      <c r="R158" s="11" t="n"/>
      <c r="S158" s="11" t="n"/>
      <c r="T158" s="9" t="n"/>
      <c r="U158" s="9" t="n"/>
      <c r="V158" s="8">
        <f>IF(OR(N158="",N158="revisão manual",U158=""),"",IF(OR(AND(U158&gt;0,N158="ocorrência"),AND(U158=0,N158="sem ocorrência")),"OK","FALHA"))</f>
        <v/>
      </c>
      <c r="W158" s="9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8">
        <f>IF(F159="","",IF(F159="misto","revisão manual",IF(OR(F159="pausa_curta",F159="mascara_abaixada",G159="costas"),"sem ocorrência","ocorrência")))</f>
        <v/>
      </c>
      <c r="O159" s="9" t="n"/>
      <c r="P159" s="10" t="n"/>
      <c r="Q159" s="11" t="n"/>
      <c r="R159" s="11" t="n"/>
      <c r="S159" s="11" t="n"/>
      <c r="T159" s="9" t="n"/>
      <c r="U159" s="9" t="n"/>
      <c r="V159" s="8">
        <f>IF(OR(N159="",N159="revisão manual",U159=""),"",IF(OR(AND(U159&gt;0,N159="ocorrência"),AND(U159=0,N159="sem ocorrência")),"OK","FALHA"))</f>
        <v/>
      </c>
      <c r="W159" s="9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8">
        <f>IF(F160="","",IF(F160="misto","revisão manual",IF(OR(F160="pausa_curta",F160="mascara_abaixada",G160="costas"),"sem ocorrência","ocorrência")))</f>
        <v/>
      </c>
      <c r="O160" s="9" t="n"/>
      <c r="P160" s="10" t="n"/>
      <c r="Q160" s="11" t="n"/>
      <c r="R160" s="11" t="n"/>
      <c r="S160" s="11" t="n"/>
      <c r="T160" s="9" t="n"/>
      <c r="U160" s="9" t="n"/>
      <c r="V160" s="8">
        <f>IF(OR(N160="",N160="revisão manual",U160=""),"",IF(OR(AND(U160&gt;0,N160="ocorrência"),AND(U160=0,N160="sem ocorrência")),"OK","FALHA"))</f>
        <v/>
      </c>
      <c r="W160" s="9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8">
        <f>IF(F161="","",IF(F161="misto","revisão manual",IF(OR(F161="pausa_curta",F161="mascara_abaixada",G161="costas"),"sem ocorrência","ocorrência")))</f>
        <v/>
      </c>
      <c r="O161" s="9" t="n"/>
      <c r="P161" s="10" t="n"/>
      <c r="Q161" s="11" t="n"/>
      <c r="R161" s="11" t="n"/>
      <c r="S161" s="11" t="n"/>
      <c r="T161" s="9" t="n"/>
      <c r="U161" s="9" t="n"/>
      <c r="V161" s="8">
        <f>IF(OR(N161="",N161="revisão manual",U161=""),"",IF(OR(AND(U161&gt;0,N161="ocorrência"),AND(U161=0,N161="sem ocorrência")),"OK","FALHA"))</f>
        <v/>
      </c>
      <c r="W161" s="9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8">
        <f>IF(F162="","",IF(F162="misto","revisão manual",IF(OR(F162="pausa_curta",F162="mascara_abaixada",G162="costas"),"sem ocorrência","ocorrência")))</f>
        <v/>
      </c>
      <c r="O162" s="9" t="n"/>
      <c r="P162" s="10" t="n"/>
      <c r="Q162" s="11" t="n"/>
      <c r="R162" s="11" t="n"/>
      <c r="S162" s="11" t="n"/>
      <c r="T162" s="9" t="n"/>
      <c r="U162" s="9" t="n"/>
      <c r="V162" s="8">
        <f>IF(OR(N162="",N162="revisão manual",U162=""),"",IF(OR(AND(U162&gt;0,N162="ocorrência"),AND(U162=0,N162="sem ocorrência")),"OK","FALHA"))</f>
        <v/>
      </c>
      <c r="W162" s="9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8">
        <f>IF(F163="","",IF(F163="misto","revisão manual",IF(OR(F163="pausa_curta",F163="mascara_abaixada",G163="costas"),"sem ocorrência","ocorrência")))</f>
        <v/>
      </c>
      <c r="O163" s="9" t="n"/>
      <c r="P163" s="10" t="n"/>
      <c r="Q163" s="11" t="n"/>
      <c r="R163" s="11" t="n"/>
      <c r="S163" s="11" t="n"/>
      <c r="T163" s="9" t="n"/>
      <c r="U163" s="9" t="n"/>
      <c r="V163" s="8">
        <f>IF(OR(N163="",N163="revisão manual",U163=""),"",IF(OR(AND(U163&gt;0,N163="ocorrência"),AND(U163=0,N163="sem ocorrência")),"OK","FALHA"))</f>
        <v/>
      </c>
      <c r="W163" s="9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8">
        <f>IF(F164="","",IF(F164="misto","revisão manual",IF(OR(F164="pausa_curta",F164="mascara_abaixada",G164="costas"),"sem ocorrência","ocorrência")))</f>
        <v/>
      </c>
      <c r="O164" s="9" t="n"/>
      <c r="P164" s="10" t="n"/>
      <c r="Q164" s="11" t="n"/>
      <c r="R164" s="11" t="n"/>
      <c r="S164" s="11" t="n"/>
      <c r="T164" s="9" t="n"/>
      <c r="U164" s="9" t="n"/>
      <c r="V164" s="8">
        <f>IF(OR(N164="",N164="revisão manual",U164=""),"",IF(OR(AND(U164&gt;0,N164="ocorrência"),AND(U164=0,N164="sem ocorrência")),"OK","FALHA"))</f>
        <v/>
      </c>
      <c r="W164" s="9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8">
        <f>IF(F165="","",IF(F165="misto","revisão manual",IF(OR(F165="pausa_curta",F165="mascara_abaixada",G165="costas"),"sem ocorrência","ocorrência")))</f>
        <v/>
      </c>
      <c r="O165" s="9" t="n"/>
      <c r="P165" s="10" t="n"/>
      <c r="Q165" s="11" t="n"/>
      <c r="R165" s="11" t="n"/>
      <c r="S165" s="11" t="n"/>
      <c r="T165" s="9" t="n"/>
      <c r="U165" s="9" t="n"/>
      <c r="V165" s="8">
        <f>IF(OR(N165="",N165="revisão manual",U165=""),"",IF(OR(AND(U165&gt;0,N165="ocorrência"),AND(U165=0,N165="sem ocorrência")),"OK","FALHA"))</f>
        <v/>
      </c>
      <c r="W165" s="9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8">
        <f>IF(F166="","",IF(F166="misto","revisão manual",IF(OR(F166="pausa_curta",F166="mascara_abaixada",G166="costas"),"sem ocorrência","ocorrência")))</f>
        <v/>
      </c>
      <c r="O166" s="9" t="n"/>
      <c r="P166" s="10" t="n"/>
      <c r="Q166" s="11" t="n"/>
      <c r="R166" s="11" t="n"/>
      <c r="S166" s="11" t="n"/>
      <c r="T166" s="9" t="n"/>
      <c r="U166" s="9" t="n"/>
      <c r="V166" s="8">
        <f>IF(OR(N166="",N166="revisão manual",U166=""),"",IF(OR(AND(U166&gt;0,N166="ocorrência"),AND(U166=0,N166="sem ocorrência")),"OK","FALHA"))</f>
        <v/>
      </c>
      <c r="W166" s="9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8">
        <f>IF(F167="","",IF(F167="misto","revisão manual",IF(OR(F167="pausa_curta",F167="mascara_abaixada",G167="costas"),"sem ocorrência","ocorrência")))</f>
        <v/>
      </c>
      <c r="O167" s="9" t="n"/>
      <c r="P167" s="10" t="n"/>
      <c r="Q167" s="11" t="n"/>
      <c r="R167" s="11" t="n"/>
      <c r="S167" s="11" t="n"/>
      <c r="T167" s="9" t="n"/>
      <c r="U167" s="9" t="n"/>
      <c r="V167" s="8">
        <f>IF(OR(N167="",N167="revisão manual",U167=""),"",IF(OR(AND(U167&gt;0,N167="ocorrência"),AND(U167=0,N167="sem ocorrência")),"OK","FALHA"))</f>
        <v/>
      </c>
      <c r="W167" s="9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8">
        <f>IF(F168="","",IF(F168="misto","revisão manual",IF(OR(F168="pausa_curta",F168="mascara_abaixada",G168="costas"),"sem ocorrência","ocorrência")))</f>
        <v/>
      </c>
      <c r="O168" s="9" t="n"/>
      <c r="P168" s="10" t="n"/>
      <c r="Q168" s="11" t="n"/>
      <c r="R168" s="11" t="n"/>
      <c r="S168" s="11" t="n"/>
      <c r="T168" s="9" t="n"/>
      <c r="U168" s="9" t="n"/>
      <c r="V168" s="8">
        <f>IF(OR(N168="",N168="revisão manual",U168=""),"",IF(OR(AND(U168&gt;0,N168="ocorrência"),AND(U168=0,N168="sem ocorrência")),"OK","FALHA"))</f>
        <v/>
      </c>
      <c r="W168" s="9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8">
        <f>IF(F169="","",IF(F169="misto","revisão manual",IF(OR(F169="pausa_curta",F169="mascara_abaixada",G169="costas"),"sem ocorrência","ocorrência")))</f>
        <v/>
      </c>
      <c r="O169" s="9" t="n"/>
      <c r="P169" s="10" t="n"/>
      <c r="Q169" s="11" t="n"/>
      <c r="R169" s="11" t="n"/>
      <c r="S169" s="11" t="n"/>
      <c r="T169" s="9" t="n"/>
      <c r="U169" s="9" t="n"/>
      <c r="V169" s="8">
        <f>IF(OR(N169="",N169="revisão manual",U169=""),"",IF(OR(AND(U169&gt;0,N169="ocorrência"),AND(U169=0,N169="sem ocorrência")),"OK","FALHA"))</f>
        <v/>
      </c>
      <c r="W169" s="9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8">
        <f>IF(F170="","",IF(F170="misto","revisão manual",IF(OR(F170="pausa_curta",F170="mascara_abaixada",G170="costas"),"sem ocorrência","ocorrência")))</f>
        <v/>
      </c>
      <c r="O170" s="9" t="n"/>
      <c r="P170" s="10" t="n"/>
      <c r="Q170" s="11" t="n"/>
      <c r="R170" s="11" t="n"/>
      <c r="S170" s="11" t="n"/>
      <c r="T170" s="9" t="n"/>
      <c r="U170" s="9" t="n"/>
      <c r="V170" s="8">
        <f>IF(OR(N170="",N170="revisão manual",U170=""),"",IF(OR(AND(U170&gt;0,N170="ocorrência"),AND(U170=0,N170="sem ocorrência")),"OK","FALHA"))</f>
        <v/>
      </c>
      <c r="W170" s="9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8">
        <f>IF(F171="","",IF(F171="misto","revisão manual",IF(OR(F171="pausa_curta",F171="mascara_abaixada",G171="costas"),"sem ocorrência","ocorrência")))</f>
        <v/>
      </c>
      <c r="O171" s="9" t="n"/>
      <c r="P171" s="10" t="n"/>
      <c r="Q171" s="11" t="n"/>
      <c r="R171" s="11" t="n"/>
      <c r="S171" s="11" t="n"/>
      <c r="T171" s="9" t="n"/>
      <c r="U171" s="9" t="n"/>
      <c r="V171" s="8">
        <f>IF(OR(N171="",N171="revisão manual",U171=""),"",IF(OR(AND(U171&gt;0,N171="ocorrência"),AND(U171=0,N171="sem ocorrência")),"OK","FALHA"))</f>
        <v/>
      </c>
      <c r="W171" s="9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8">
        <f>IF(F172="","",IF(F172="misto","revisão manual",IF(OR(F172="pausa_curta",F172="mascara_abaixada",G172="costas"),"sem ocorrência","ocorrência")))</f>
        <v/>
      </c>
      <c r="O172" s="9" t="n"/>
      <c r="P172" s="10" t="n"/>
      <c r="Q172" s="11" t="n"/>
      <c r="R172" s="11" t="n"/>
      <c r="S172" s="11" t="n"/>
      <c r="T172" s="9" t="n"/>
      <c r="U172" s="9" t="n"/>
      <c r="V172" s="8">
        <f>IF(OR(N172="",N172="revisão manual",U172=""),"",IF(OR(AND(U172&gt;0,N172="ocorrência"),AND(U172=0,N172="sem ocorrência")),"OK","FALHA"))</f>
        <v/>
      </c>
      <c r="W172" s="9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8">
        <f>IF(F173="","",IF(F173="misto","revisão manual",IF(OR(F173="pausa_curta",F173="mascara_abaixada",G173="costas"),"sem ocorrência","ocorrência")))</f>
        <v/>
      </c>
      <c r="O173" s="9" t="n"/>
      <c r="P173" s="10" t="n"/>
      <c r="Q173" s="11" t="n"/>
      <c r="R173" s="11" t="n"/>
      <c r="S173" s="11" t="n"/>
      <c r="T173" s="9" t="n"/>
      <c r="U173" s="9" t="n"/>
      <c r="V173" s="8">
        <f>IF(OR(N173="",N173="revisão manual",U173=""),"",IF(OR(AND(U173&gt;0,N173="ocorrência"),AND(U173=0,N173="sem ocorrência")),"OK","FALHA"))</f>
        <v/>
      </c>
      <c r="W173" s="9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8">
        <f>IF(F174="","",IF(F174="misto","revisão manual",IF(OR(F174="pausa_curta",F174="mascara_abaixada",G174="costas"),"sem ocorrência","ocorrência")))</f>
        <v/>
      </c>
      <c r="O174" s="9" t="n"/>
      <c r="P174" s="10" t="n"/>
      <c r="Q174" s="11" t="n"/>
      <c r="R174" s="11" t="n"/>
      <c r="S174" s="11" t="n"/>
      <c r="T174" s="9" t="n"/>
      <c r="U174" s="9" t="n"/>
      <c r="V174" s="8">
        <f>IF(OR(N174="",N174="revisão manual",U174=""),"",IF(OR(AND(U174&gt;0,N174="ocorrência"),AND(U174=0,N174="sem ocorrência")),"OK","FALHA"))</f>
        <v/>
      </c>
      <c r="W174" s="9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8">
        <f>IF(F175="","",IF(F175="misto","revisão manual",IF(OR(F175="pausa_curta",F175="mascara_abaixada",G175="costas"),"sem ocorrência","ocorrência")))</f>
        <v/>
      </c>
      <c r="O175" s="9" t="n"/>
      <c r="P175" s="10" t="n"/>
      <c r="Q175" s="11" t="n"/>
      <c r="R175" s="11" t="n"/>
      <c r="S175" s="11" t="n"/>
      <c r="T175" s="9" t="n"/>
      <c r="U175" s="9" t="n"/>
      <c r="V175" s="8">
        <f>IF(OR(N175="",N175="revisão manual",U175=""),"",IF(OR(AND(U175&gt;0,N175="ocorrência"),AND(U175=0,N175="sem ocorrência")),"OK","FALHA"))</f>
        <v/>
      </c>
      <c r="W175" s="9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8">
        <f>IF(F176="","",IF(F176="misto","revisão manual",IF(OR(F176="pausa_curta",F176="mascara_abaixada",G176="costas"),"sem ocorrência","ocorrência")))</f>
        <v/>
      </c>
      <c r="O176" s="9" t="n"/>
      <c r="P176" s="10" t="n"/>
      <c r="Q176" s="11" t="n"/>
      <c r="R176" s="11" t="n"/>
      <c r="S176" s="11" t="n"/>
      <c r="T176" s="9" t="n"/>
      <c r="U176" s="9" t="n"/>
      <c r="V176" s="8">
        <f>IF(OR(N176="",N176="revisão manual",U176=""),"",IF(OR(AND(U176&gt;0,N176="ocorrência"),AND(U176=0,N176="sem ocorrência")),"OK","FALHA"))</f>
        <v/>
      </c>
      <c r="W176" s="9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8">
        <f>IF(F177="","",IF(F177="misto","revisão manual",IF(OR(F177="pausa_curta",F177="mascara_abaixada",G177="costas"),"sem ocorrência","ocorrência")))</f>
        <v/>
      </c>
      <c r="O177" s="9" t="n"/>
      <c r="P177" s="10" t="n"/>
      <c r="Q177" s="11" t="n"/>
      <c r="R177" s="11" t="n"/>
      <c r="S177" s="11" t="n"/>
      <c r="T177" s="9" t="n"/>
      <c r="U177" s="9" t="n"/>
      <c r="V177" s="8">
        <f>IF(OR(N177="",N177="revisão manual",U177=""),"",IF(OR(AND(U177&gt;0,N177="ocorrência"),AND(U177=0,N177="sem ocorrência")),"OK","FALHA"))</f>
        <v/>
      </c>
      <c r="W177" s="9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8">
        <f>IF(F178="","",IF(F178="misto","revisão manual",IF(OR(F178="pausa_curta",F178="mascara_abaixada",G178="costas"),"sem ocorrência","ocorrência")))</f>
        <v/>
      </c>
      <c r="O178" s="9" t="n"/>
      <c r="P178" s="10" t="n"/>
      <c r="Q178" s="11" t="n"/>
      <c r="R178" s="11" t="n"/>
      <c r="S178" s="11" t="n"/>
      <c r="T178" s="9" t="n"/>
      <c r="U178" s="9" t="n"/>
      <c r="V178" s="8">
        <f>IF(OR(N178="",N178="revisão manual",U178=""),"",IF(OR(AND(U178&gt;0,N178="ocorrência"),AND(U178=0,N178="sem ocorrência")),"OK","FALHA"))</f>
        <v/>
      </c>
      <c r="W178" s="9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8">
        <f>IF(F179="","",IF(F179="misto","revisão manual",IF(OR(F179="pausa_curta",F179="mascara_abaixada",G179="costas"),"sem ocorrência","ocorrência")))</f>
        <v/>
      </c>
      <c r="O179" s="9" t="n"/>
      <c r="P179" s="10" t="n"/>
      <c r="Q179" s="11" t="n"/>
      <c r="R179" s="11" t="n"/>
      <c r="S179" s="11" t="n"/>
      <c r="T179" s="9" t="n"/>
      <c r="U179" s="9" t="n"/>
      <c r="V179" s="8">
        <f>IF(OR(N179="",N179="revisão manual",U179=""),"",IF(OR(AND(U179&gt;0,N179="ocorrência"),AND(U179=0,N179="sem ocorrência")),"OK","FALHA"))</f>
        <v/>
      </c>
      <c r="W179" s="9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8">
        <f>IF(F180="","",IF(F180="misto","revisão manual",IF(OR(F180="pausa_curta",F180="mascara_abaixada",G180="costas"),"sem ocorrência","ocorrência")))</f>
        <v/>
      </c>
      <c r="O180" s="9" t="n"/>
      <c r="P180" s="10" t="n"/>
      <c r="Q180" s="11" t="n"/>
      <c r="R180" s="11" t="n"/>
      <c r="S180" s="11" t="n"/>
      <c r="T180" s="9" t="n"/>
      <c r="U180" s="9" t="n"/>
      <c r="V180" s="8">
        <f>IF(OR(N180="",N180="revisão manual",U180=""),"",IF(OR(AND(U180&gt;0,N180="ocorrência"),AND(U180=0,N180="sem ocorrência")),"OK","FALHA"))</f>
        <v/>
      </c>
      <c r="W180" s="9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8">
        <f>IF(F181="","",IF(F181="misto","revisão manual",IF(OR(F181="pausa_curta",F181="mascara_abaixada",G181="costas"),"sem ocorrência","ocorrência")))</f>
        <v/>
      </c>
      <c r="O181" s="9" t="n"/>
      <c r="P181" s="10" t="n"/>
      <c r="Q181" s="11" t="n"/>
      <c r="R181" s="11" t="n"/>
      <c r="S181" s="11" t="n"/>
      <c r="T181" s="9" t="n"/>
      <c r="U181" s="9" t="n"/>
      <c r="V181" s="8">
        <f>IF(OR(N181="",N181="revisão manual",U181=""),"",IF(OR(AND(U181&gt;0,N181="ocorrência"),AND(U181=0,N181="sem ocorrência")),"OK","FALHA"))</f>
        <v/>
      </c>
      <c r="W181" s="9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8">
        <f>IF(F182="","",IF(F182="misto","revisão manual",IF(OR(F182="pausa_curta",F182="mascara_abaixada",G182="costas"),"sem ocorrência","ocorrência")))</f>
        <v/>
      </c>
      <c r="O182" s="9" t="n"/>
      <c r="P182" s="10" t="n"/>
      <c r="Q182" s="11" t="n"/>
      <c r="R182" s="11" t="n"/>
      <c r="S182" s="11" t="n"/>
      <c r="T182" s="9" t="n"/>
      <c r="U182" s="9" t="n"/>
      <c r="V182" s="8">
        <f>IF(OR(N182="",N182="revisão manual",U182=""),"",IF(OR(AND(U182&gt;0,N182="ocorrência"),AND(U182=0,N182="sem ocorrência")),"OK","FALHA"))</f>
        <v/>
      </c>
      <c r="W182" s="9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8">
        <f>IF(F183="","",IF(F183="misto","revisão manual",IF(OR(F183="pausa_curta",F183="mascara_abaixada",G183="costas"),"sem ocorrência","ocorrência")))</f>
        <v/>
      </c>
      <c r="O183" s="9" t="n"/>
      <c r="P183" s="10" t="n"/>
      <c r="Q183" s="11" t="n"/>
      <c r="R183" s="11" t="n"/>
      <c r="S183" s="11" t="n"/>
      <c r="T183" s="9" t="n"/>
      <c r="U183" s="9" t="n"/>
      <c r="V183" s="8">
        <f>IF(OR(N183="",N183="revisão manual",U183=""),"",IF(OR(AND(U183&gt;0,N183="ocorrência"),AND(U183=0,N183="sem ocorrência")),"OK","FALHA"))</f>
        <v/>
      </c>
      <c r="W183" s="9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8">
        <f>IF(F184="","",IF(F184="misto","revisão manual",IF(OR(F184="pausa_curta",F184="mascara_abaixada",G184="costas"),"sem ocorrência","ocorrência")))</f>
        <v/>
      </c>
      <c r="O184" s="9" t="n"/>
      <c r="P184" s="10" t="n"/>
      <c r="Q184" s="11" t="n"/>
      <c r="R184" s="11" t="n"/>
      <c r="S184" s="11" t="n"/>
      <c r="T184" s="9" t="n"/>
      <c r="U184" s="9" t="n"/>
      <c r="V184" s="8">
        <f>IF(OR(N184="",N184="revisão manual",U184=""),"",IF(OR(AND(U184&gt;0,N184="ocorrência"),AND(U184=0,N184="sem ocorrência")),"OK","FALHA"))</f>
        <v/>
      </c>
      <c r="W184" s="9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8">
        <f>IF(F185="","",IF(F185="misto","revisão manual",IF(OR(F185="pausa_curta",F185="mascara_abaixada",G185="costas"),"sem ocorrência","ocorrência")))</f>
        <v/>
      </c>
      <c r="O185" s="9" t="n"/>
      <c r="P185" s="10" t="n"/>
      <c r="Q185" s="11" t="n"/>
      <c r="R185" s="11" t="n"/>
      <c r="S185" s="11" t="n"/>
      <c r="T185" s="9" t="n"/>
      <c r="U185" s="9" t="n"/>
      <c r="V185" s="8">
        <f>IF(OR(N185="",N185="revisão manual",U185=""),"",IF(OR(AND(U185&gt;0,N185="ocorrência"),AND(U185=0,N185="sem ocorrência")),"OK","FALHA"))</f>
        <v/>
      </c>
      <c r="W185" s="9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8">
        <f>IF(F186="","",IF(F186="misto","revisão manual",IF(OR(F186="pausa_curta",F186="mascara_abaixada",G186="costas"),"sem ocorrência","ocorrência")))</f>
        <v/>
      </c>
      <c r="O186" s="9" t="n"/>
      <c r="P186" s="10" t="n"/>
      <c r="Q186" s="11" t="n"/>
      <c r="R186" s="11" t="n"/>
      <c r="S186" s="11" t="n"/>
      <c r="T186" s="9" t="n"/>
      <c r="U186" s="9" t="n"/>
      <c r="V186" s="8">
        <f>IF(OR(N186="",N186="revisão manual",U186=""),"",IF(OR(AND(U186&gt;0,N186="ocorrência"),AND(U186=0,N186="sem ocorrência")),"OK","FALHA"))</f>
        <v/>
      </c>
      <c r="W186" s="9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8">
        <f>IF(F187="","",IF(F187="misto","revisão manual",IF(OR(F187="pausa_curta",F187="mascara_abaixada",G187="costas"),"sem ocorrência","ocorrência")))</f>
        <v/>
      </c>
      <c r="O187" s="9" t="n"/>
      <c r="P187" s="10" t="n"/>
      <c r="Q187" s="11" t="n"/>
      <c r="R187" s="11" t="n"/>
      <c r="S187" s="11" t="n"/>
      <c r="T187" s="9" t="n"/>
      <c r="U187" s="9" t="n"/>
      <c r="V187" s="8">
        <f>IF(OR(N187="",N187="revisão manual",U187=""),"",IF(OR(AND(U187&gt;0,N187="ocorrência"),AND(U187=0,N187="sem ocorrência")),"OK","FALHA"))</f>
        <v/>
      </c>
      <c r="W187" s="9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8">
        <f>IF(F188="","",IF(F188="misto","revisão manual",IF(OR(F188="pausa_curta",F188="mascara_abaixada",G188="costas"),"sem ocorrência","ocorrência")))</f>
        <v/>
      </c>
      <c r="O188" s="9" t="n"/>
      <c r="P188" s="10" t="n"/>
      <c r="Q188" s="11" t="n"/>
      <c r="R188" s="11" t="n"/>
      <c r="S188" s="11" t="n"/>
      <c r="T188" s="9" t="n"/>
      <c r="U188" s="9" t="n"/>
      <c r="V188" s="8">
        <f>IF(OR(N188="",N188="revisão manual",U188=""),"",IF(OR(AND(U188&gt;0,N188="ocorrência"),AND(U188=0,N188="sem ocorrência")),"OK","FALHA"))</f>
        <v/>
      </c>
      <c r="W188" s="9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8">
        <f>IF(F189="","",IF(F189="misto","revisão manual",IF(OR(F189="pausa_curta",F189="mascara_abaixada",G189="costas"),"sem ocorrência","ocorrência")))</f>
        <v/>
      </c>
      <c r="O189" s="9" t="n"/>
      <c r="P189" s="10" t="n"/>
      <c r="Q189" s="11" t="n"/>
      <c r="R189" s="11" t="n"/>
      <c r="S189" s="11" t="n"/>
      <c r="T189" s="9" t="n"/>
      <c r="U189" s="9" t="n"/>
      <c r="V189" s="8">
        <f>IF(OR(N189="",N189="revisão manual",U189=""),"",IF(OR(AND(U189&gt;0,N189="ocorrência"),AND(U189=0,N189="sem ocorrência")),"OK","FALHA"))</f>
        <v/>
      </c>
      <c r="W189" s="9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8">
        <f>IF(F190="","",IF(F190="misto","revisão manual",IF(OR(F190="pausa_curta",F190="mascara_abaixada",G190="costas"),"sem ocorrência","ocorrência")))</f>
        <v/>
      </c>
      <c r="O190" s="9" t="n"/>
      <c r="P190" s="10" t="n"/>
      <c r="Q190" s="11" t="n"/>
      <c r="R190" s="11" t="n"/>
      <c r="S190" s="11" t="n"/>
      <c r="T190" s="9" t="n"/>
      <c r="U190" s="9" t="n"/>
      <c r="V190" s="8">
        <f>IF(OR(N190="",N190="revisão manual",U190=""),"",IF(OR(AND(U190&gt;0,N190="ocorrência"),AND(U190=0,N190="sem ocorrência")),"OK","FALHA"))</f>
        <v/>
      </c>
      <c r="W190" s="9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8">
        <f>IF(F191="","",IF(F191="misto","revisão manual",IF(OR(F191="pausa_curta",F191="mascara_abaixada",G191="costas"),"sem ocorrência","ocorrência")))</f>
        <v/>
      </c>
      <c r="O191" s="9" t="n"/>
      <c r="P191" s="10" t="n"/>
      <c r="Q191" s="11" t="n"/>
      <c r="R191" s="11" t="n"/>
      <c r="S191" s="11" t="n"/>
      <c r="T191" s="9" t="n"/>
      <c r="U191" s="9" t="n"/>
      <c r="V191" s="8">
        <f>IF(OR(N191="",N191="revisão manual",U191=""),"",IF(OR(AND(U191&gt;0,N191="ocorrência"),AND(U191=0,N191="sem ocorrência")),"OK","FALHA"))</f>
        <v/>
      </c>
      <c r="W191" s="9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8">
        <f>IF(F192="","",IF(F192="misto","revisão manual",IF(OR(F192="pausa_curta",F192="mascara_abaixada",G192="costas"),"sem ocorrência","ocorrência")))</f>
        <v/>
      </c>
      <c r="O192" s="9" t="n"/>
      <c r="P192" s="10" t="n"/>
      <c r="Q192" s="11" t="n"/>
      <c r="R192" s="11" t="n"/>
      <c r="S192" s="11" t="n"/>
      <c r="T192" s="9" t="n"/>
      <c r="U192" s="9" t="n"/>
      <c r="V192" s="8">
        <f>IF(OR(N192="",N192="revisão manual",U192=""),"",IF(OR(AND(U192&gt;0,N192="ocorrência"),AND(U192=0,N192="sem ocorrência")),"OK","FALHA"))</f>
        <v/>
      </c>
      <c r="W192" s="9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8">
        <f>IF(F193="","",IF(F193="misto","revisão manual",IF(OR(F193="pausa_curta",F193="mascara_abaixada",G193="costas"),"sem ocorrência","ocorrência")))</f>
        <v/>
      </c>
      <c r="O193" s="9" t="n"/>
      <c r="P193" s="10" t="n"/>
      <c r="Q193" s="11" t="n"/>
      <c r="R193" s="11" t="n"/>
      <c r="S193" s="11" t="n"/>
      <c r="T193" s="9" t="n"/>
      <c r="U193" s="9" t="n"/>
      <c r="V193" s="8">
        <f>IF(OR(N193="",N193="revisão manual",U193=""),"",IF(OR(AND(U193&gt;0,N193="ocorrência"),AND(U193=0,N193="sem ocorrência")),"OK","FALHA"))</f>
        <v/>
      </c>
      <c r="W193" s="9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8">
        <f>IF(F194="","",IF(F194="misto","revisão manual",IF(OR(F194="pausa_curta",F194="mascara_abaixada",G194="costas"),"sem ocorrência","ocorrência")))</f>
        <v/>
      </c>
      <c r="O194" s="9" t="n"/>
      <c r="P194" s="10" t="n"/>
      <c r="Q194" s="11" t="n"/>
      <c r="R194" s="11" t="n"/>
      <c r="S194" s="11" t="n"/>
      <c r="T194" s="9" t="n"/>
      <c r="U194" s="9" t="n"/>
      <c r="V194" s="8">
        <f>IF(OR(N194="",N194="revisão manual",U194=""),"",IF(OR(AND(U194&gt;0,N194="ocorrência"),AND(U194=0,N194="sem ocorrência")),"OK","FALHA"))</f>
        <v/>
      </c>
      <c r="W194" s="9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8">
        <f>IF(F195="","",IF(F195="misto","revisão manual",IF(OR(F195="pausa_curta",F195="mascara_abaixada",G195="costas"),"sem ocorrência","ocorrência")))</f>
        <v/>
      </c>
      <c r="O195" s="9" t="n"/>
      <c r="P195" s="10" t="n"/>
      <c r="Q195" s="11" t="n"/>
      <c r="R195" s="11" t="n"/>
      <c r="S195" s="11" t="n"/>
      <c r="T195" s="9" t="n"/>
      <c r="U195" s="9" t="n"/>
      <c r="V195" s="8">
        <f>IF(OR(N195="",N195="revisão manual",U195=""),"",IF(OR(AND(U195&gt;0,N195="ocorrência"),AND(U195=0,N195="sem ocorrência")),"OK","FALHA"))</f>
        <v/>
      </c>
      <c r="W195" s="9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8">
        <f>IF(F196="","",IF(F196="misto","revisão manual",IF(OR(F196="pausa_curta",F196="mascara_abaixada",G196="costas"),"sem ocorrência","ocorrência")))</f>
        <v/>
      </c>
      <c r="O196" s="9" t="n"/>
      <c r="P196" s="10" t="n"/>
      <c r="Q196" s="11" t="n"/>
      <c r="R196" s="11" t="n"/>
      <c r="S196" s="11" t="n"/>
      <c r="T196" s="9" t="n"/>
      <c r="U196" s="9" t="n"/>
      <c r="V196" s="8">
        <f>IF(OR(N196="",N196="revisão manual",U196=""),"",IF(OR(AND(U196&gt;0,N196="ocorrência"),AND(U196=0,N196="sem ocorrência")),"OK","FALHA"))</f>
        <v/>
      </c>
      <c r="W196" s="9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8">
        <f>IF(F197="","",IF(F197="misto","revisão manual",IF(OR(F197="pausa_curta",F197="mascara_abaixada",G197="costas"),"sem ocorrência","ocorrência")))</f>
        <v/>
      </c>
      <c r="O197" s="9" t="n"/>
      <c r="P197" s="10" t="n"/>
      <c r="Q197" s="11" t="n"/>
      <c r="R197" s="11" t="n"/>
      <c r="S197" s="11" t="n"/>
      <c r="T197" s="9" t="n"/>
      <c r="U197" s="9" t="n"/>
      <c r="V197" s="8">
        <f>IF(OR(N197="",N197="revisão manual",U197=""),"",IF(OR(AND(U197&gt;0,N197="ocorrência"),AND(U197=0,N197="sem ocorrência")),"OK","FALHA"))</f>
        <v/>
      </c>
      <c r="W197" s="9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8">
        <f>IF(F198="","",IF(F198="misto","revisão manual",IF(OR(F198="pausa_curta",F198="mascara_abaixada",G198="costas"),"sem ocorrência","ocorrência")))</f>
        <v/>
      </c>
      <c r="O198" s="9" t="n"/>
      <c r="P198" s="10" t="n"/>
      <c r="Q198" s="11" t="n"/>
      <c r="R198" s="11" t="n"/>
      <c r="S198" s="11" t="n"/>
      <c r="T198" s="9" t="n"/>
      <c r="U198" s="9" t="n"/>
      <c r="V198" s="8">
        <f>IF(OR(N198="",N198="revisão manual",U198=""),"",IF(OR(AND(U198&gt;0,N198="ocorrência"),AND(U198=0,N198="sem ocorrência")),"OK","FALHA"))</f>
        <v/>
      </c>
      <c r="W198" s="9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8">
        <f>IF(F199="","",IF(F199="misto","revisão manual",IF(OR(F199="pausa_curta",F199="mascara_abaixada",G199="costas"),"sem ocorrência","ocorrência")))</f>
        <v/>
      </c>
      <c r="O199" s="9" t="n"/>
      <c r="P199" s="10" t="n"/>
      <c r="Q199" s="11" t="n"/>
      <c r="R199" s="11" t="n"/>
      <c r="S199" s="11" t="n"/>
      <c r="T199" s="9" t="n"/>
      <c r="U199" s="9" t="n"/>
      <c r="V199" s="8">
        <f>IF(OR(N199="",N199="revisão manual",U199=""),"",IF(OR(AND(U199&gt;0,N199="ocorrência"),AND(U199=0,N199="sem ocorrência")),"OK","FALHA"))</f>
        <v/>
      </c>
      <c r="W199" s="9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8">
        <f>IF(F200="","",IF(F200="misto","revisão manual",IF(OR(F200="pausa_curta",F200="mascara_abaixada",G200="costas"),"sem ocorrência","ocorrência")))</f>
        <v/>
      </c>
      <c r="O200" s="9" t="n"/>
      <c r="P200" s="10" t="n"/>
      <c r="Q200" s="11" t="n"/>
      <c r="R200" s="11" t="n"/>
      <c r="S200" s="11" t="n"/>
      <c r="T200" s="9" t="n"/>
      <c r="U200" s="9" t="n"/>
      <c r="V200" s="8">
        <f>IF(OR(N200="",N200="revisão manual",U200=""),"",IF(OR(AND(U200&gt;0,N200="ocorrência"),AND(U200=0,N200="sem ocorrência")),"OK","FALHA"))</f>
        <v/>
      </c>
      <c r="W200" s="9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8">
        <f>IF(F201="","",IF(F201="misto","revisão manual",IF(OR(F201="pausa_curta",F201="mascara_abaixada",G201="costas"),"sem ocorrência","ocorrência")))</f>
        <v/>
      </c>
      <c r="O201" s="9" t="n"/>
      <c r="P201" s="10" t="n"/>
      <c r="Q201" s="11" t="n"/>
      <c r="R201" s="11" t="n"/>
      <c r="S201" s="11" t="n"/>
      <c r="T201" s="9" t="n"/>
      <c r="U201" s="9" t="n"/>
      <c r="V201" s="8">
        <f>IF(OR(N201="",N201="revisão manual",U201=""),"",IF(OR(AND(U201&gt;0,N201="ocorrência"),AND(U201=0,N201="sem ocorrência")),"OK","FALHA"))</f>
        <v/>
      </c>
      <c r="W201" s="9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8">
        <f>IF(F202="","",IF(F202="misto","revisão manual",IF(OR(F202="pausa_curta",F202="mascara_abaixada",G202="costas"),"sem ocorrência","ocorrência")))</f>
        <v/>
      </c>
      <c r="O202" s="9" t="n"/>
      <c r="P202" s="10" t="n"/>
      <c r="Q202" s="11" t="n"/>
      <c r="R202" s="11" t="n"/>
      <c r="S202" s="11" t="n"/>
      <c r="T202" s="9" t="n"/>
      <c r="U202" s="9" t="n"/>
      <c r="V202" s="8">
        <f>IF(OR(N202="",N202="revisão manual",U202=""),"",IF(OR(AND(U202&gt;0,N202="ocorrência"),AND(U202=0,N202="sem ocorrência")),"OK","FALHA"))</f>
        <v/>
      </c>
      <c r="W202" s="9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8">
        <f>IF(F203="","",IF(F203="misto","revisão manual",IF(OR(F203="pausa_curta",F203="mascara_abaixada",G203="costas"),"sem ocorrência","ocorrência")))</f>
        <v/>
      </c>
      <c r="O203" s="9" t="n"/>
      <c r="P203" s="10" t="n"/>
      <c r="Q203" s="11" t="n"/>
      <c r="R203" s="11" t="n"/>
      <c r="S203" s="11" t="n"/>
      <c r="T203" s="9" t="n"/>
      <c r="U203" s="9" t="n"/>
      <c r="V203" s="8">
        <f>IF(OR(N203="",N203="revisão manual",U203=""),"",IF(OR(AND(U203&gt;0,N203="ocorrência"),AND(U203=0,N203="sem ocorrência")),"OK","FALHA"))</f>
        <v/>
      </c>
      <c r="W203" s="9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8">
        <f>IF(F204="","",IF(F204="misto","revisão manual",IF(OR(F204="pausa_curta",F204="mascara_abaixada",G204="costas"),"sem ocorrência","ocorrência")))</f>
        <v/>
      </c>
      <c r="O204" s="9" t="n"/>
      <c r="P204" s="10" t="n"/>
      <c r="Q204" s="11" t="n"/>
      <c r="R204" s="11" t="n"/>
      <c r="S204" s="11" t="n"/>
      <c r="T204" s="9" t="n"/>
      <c r="U204" s="9" t="n"/>
      <c r="V204" s="8">
        <f>IF(OR(N204="",N204="revisão manual",U204=""),"",IF(OR(AND(U204&gt;0,N204="ocorrência"),AND(U204=0,N204="sem ocorrência")),"OK","FALHA"))</f>
        <v/>
      </c>
      <c r="W204" s="9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8">
        <f>IF(F205="","",IF(F205="misto","revisão manual",IF(OR(F205="pausa_curta",F205="mascara_abaixada",G205="costas"),"sem ocorrência","ocorrência")))</f>
        <v/>
      </c>
      <c r="O205" s="9" t="n"/>
      <c r="P205" s="10" t="n"/>
      <c r="Q205" s="11" t="n"/>
      <c r="R205" s="11" t="n"/>
      <c r="S205" s="11" t="n"/>
      <c r="T205" s="9" t="n"/>
      <c r="U205" s="9" t="n"/>
      <c r="V205" s="8">
        <f>IF(OR(N205="",N205="revisão manual",U205=""),"",IF(OR(AND(U205&gt;0,N205="ocorrência"),AND(U205=0,N205="sem ocorrência")),"OK","FALHA"))</f>
        <v/>
      </c>
      <c r="W205" s="9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8">
        <f>IF(F206="","",IF(F206="misto","revisão manual",IF(OR(F206="pausa_curta",F206="mascara_abaixada",G206="costas"),"sem ocorrência","ocorrência")))</f>
        <v/>
      </c>
      <c r="O206" s="9" t="n"/>
      <c r="P206" s="10" t="n"/>
      <c r="Q206" s="11" t="n"/>
      <c r="R206" s="11" t="n"/>
      <c r="S206" s="11" t="n"/>
      <c r="T206" s="9" t="n"/>
      <c r="U206" s="9" t="n"/>
      <c r="V206" s="8">
        <f>IF(OR(N206="",N206="revisão manual",U206=""),"",IF(OR(AND(U206&gt;0,N206="ocorrência"),AND(U206=0,N206="sem ocorrência")),"OK","FALHA"))</f>
        <v/>
      </c>
      <c r="W206" s="9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8">
        <f>IF(F207="","",IF(F207="misto","revisão manual",IF(OR(F207="pausa_curta",F207="mascara_abaixada",G207="costas"),"sem ocorrência","ocorrência")))</f>
        <v/>
      </c>
      <c r="O207" s="9" t="n"/>
      <c r="P207" s="10" t="n"/>
      <c r="Q207" s="11" t="n"/>
      <c r="R207" s="11" t="n"/>
      <c r="S207" s="11" t="n"/>
      <c r="T207" s="9" t="n"/>
      <c r="U207" s="9" t="n"/>
      <c r="V207" s="8">
        <f>IF(OR(N207="",N207="revisão manual",U207=""),"",IF(OR(AND(U207&gt;0,N207="ocorrência"),AND(U207=0,N207="sem ocorrência")),"OK","FALHA"))</f>
        <v/>
      </c>
      <c r="W207" s="9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8">
        <f>IF(F208="","",IF(F208="misto","revisão manual",IF(OR(F208="pausa_curta",F208="mascara_abaixada",G208="costas"),"sem ocorrência","ocorrência")))</f>
        <v/>
      </c>
      <c r="O208" s="9" t="n"/>
      <c r="P208" s="10" t="n"/>
      <c r="Q208" s="11" t="n"/>
      <c r="R208" s="11" t="n"/>
      <c r="S208" s="11" t="n"/>
      <c r="T208" s="9" t="n"/>
      <c r="U208" s="9" t="n"/>
      <c r="V208" s="8">
        <f>IF(OR(N208="",N208="revisão manual",U208=""),"",IF(OR(AND(U208&gt;0,N208="ocorrência"),AND(U208=0,N208="sem ocorrência")),"OK","FALHA"))</f>
        <v/>
      </c>
      <c r="W208" s="9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8">
        <f>IF(F209="","",IF(F209="misto","revisão manual",IF(OR(F209="pausa_curta",F209="mascara_abaixada",G209="costas"),"sem ocorrência","ocorrência")))</f>
        <v/>
      </c>
      <c r="O209" s="9" t="n"/>
      <c r="P209" s="10" t="n"/>
      <c r="Q209" s="11" t="n"/>
      <c r="R209" s="11" t="n"/>
      <c r="S209" s="11" t="n"/>
      <c r="T209" s="9" t="n"/>
      <c r="U209" s="9" t="n"/>
      <c r="V209" s="8">
        <f>IF(OR(N209="",N209="revisão manual",U209=""),"",IF(OR(AND(U209&gt;0,N209="ocorrência"),AND(U209=0,N209="sem ocorrência")),"OK","FALHA"))</f>
        <v/>
      </c>
      <c r="W209" s="9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8">
        <f>IF(F210="","",IF(F210="misto","revisão manual",IF(OR(F210="pausa_curta",F210="mascara_abaixada",G210="costas"),"sem ocorrência","ocorrência")))</f>
        <v/>
      </c>
      <c r="O210" s="9" t="n"/>
      <c r="P210" s="10" t="n"/>
      <c r="Q210" s="11" t="n"/>
      <c r="R210" s="11" t="n"/>
      <c r="S210" s="11" t="n"/>
      <c r="T210" s="9" t="n"/>
      <c r="U210" s="9" t="n"/>
      <c r="V210" s="8">
        <f>IF(OR(N210="",N210="revisão manual",U210=""),"",IF(OR(AND(U210&gt;0,N210="ocorrência"),AND(U210=0,N210="sem ocorrência")),"OK","FALHA"))</f>
        <v/>
      </c>
      <c r="W210" s="9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8">
        <f>IF(F211="","",IF(F211="misto","revisão manual",IF(OR(F211="pausa_curta",F211="mascara_abaixada",G211="costas"),"sem ocorrência","ocorrência")))</f>
        <v/>
      </c>
      <c r="O211" s="9" t="n"/>
      <c r="P211" s="10" t="n"/>
      <c r="Q211" s="11" t="n"/>
      <c r="R211" s="11" t="n"/>
      <c r="S211" s="11" t="n"/>
      <c r="T211" s="9" t="n"/>
      <c r="U211" s="9" t="n"/>
      <c r="V211" s="8">
        <f>IF(OR(N211="",N211="revisão manual",U211=""),"",IF(OR(AND(U211&gt;0,N211="ocorrência"),AND(U211=0,N211="sem ocorrência")),"OK","FALHA"))</f>
        <v/>
      </c>
      <c r="W211" s="9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8">
        <f>IF(F212="","",IF(F212="misto","revisão manual",IF(OR(F212="pausa_curta",F212="mascara_abaixada",G212="costas"),"sem ocorrência","ocorrência")))</f>
        <v/>
      </c>
      <c r="O212" s="9" t="n"/>
      <c r="P212" s="10" t="n"/>
      <c r="Q212" s="11" t="n"/>
      <c r="R212" s="11" t="n"/>
      <c r="S212" s="11" t="n"/>
      <c r="T212" s="9" t="n"/>
      <c r="U212" s="9" t="n"/>
      <c r="V212" s="8">
        <f>IF(OR(N212="",N212="revisão manual",U212=""),"",IF(OR(AND(U212&gt;0,N212="ocorrência"),AND(U212=0,N212="sem ocorrência")),"OK","FALHA"))</f>
        <v/>
      </c>
      <c r="W212" s="9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8">
        <f>IF(F213="","",IF(F213="misto","revisão manual",IF(OR(F213="pausa_curta",F213="mascara_abaixada",G213="costas"),"sem ocorrência","ocorrência")))</f>
        <v/>
      </c>
      <c r="O213" s="9" t="n"/>
      <c r="P213" s="10" t="n"/>
      <c r="Q213" s="11" t="n"/>
      <c r="R213" s="11" t="n"/>
      <c r="S213" s="11" t="n"/>
      <c r="T213" s="9" t="n"/>
      <c r="U213" s="9" t="n"/>
      <c r="V213" s="8">
        <f>IF(OR(N213="",N213="revisão manual",U213=""),"",IF(OR(AND(U213&gt;0,N213="ocorrência"),AND(U213=0,N213="sem ocorrência")),"OK","FALHA"))</f>
        <v/>
      </c>
      <c r="W213" s="9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8">
        <f>IF(F214="","",IF(F214="misto","revisão manual",IF(OR(F214="pausa_curta",F214="mascara_abaixada",G214="costas"),"sem ocorrência","ocorrência")))</f>
        <v/>
      </c>
      <c r="O214" s="9" t="n"/>
      <c r="P214" s="10" t="n"/>
      <c r="Q214" s="11" t="n"/>
      <c r="R214" s="11" t="n"/>
      <c r="S214" s="11" t="n"/>
      <c r="T214" s="9" t="n"/>
      <c r="U214" s="9" t="n"/>
      <c r="V214" s="8">
        <f>IF(OR(N214="",N214="revisão manual",U214=""),"",IF(OR(AND(U214&gt;0,N214="ocorrência"),AND(U214=0,N214="sem ocorrência")),"OK","FALHA"))</f>
        <v/>
      </c>
      <c r="W214" s="9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8">
        <f>IF(F215="","",IF(F215="misto","revisão manual",IF(OR(F215="pausa_curta",F215="mascara_abaixada",G215="costas"),"sem ocorrência","ocorrência")))</f>
        <v/>
      </c>
      <c r="O215" s="9" t="n"/>
      <c r="P215" s="10" t="n"/>
      <c r="Q215" s="11" t="n"/>
      <c r="R215" s="11" t="n"/>
      <c r="S215" s="11" t="n"/>
      <c r="T215" s="9" t="n"/>
      <c r="U215" s="9" t="n"/>
      <c r="V215" s="8">
        <f>IF(OR(N215="",N215="revisão manual",U215=""),"",IF(OR(AND(U215&gt;0,N215="ocorrência"),AND(U215=0,N215="sem ocorrência")),"OK","FALHA"))</f>
        <v/>
      </c>
      <c r="W215" s="9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8">
        <f>IF(F216="","",IF(F216="misto","revisão manual",IF(OR(F216="pausa_curta",F216="mascara_abaixada",G216="costas"),"sem ocorrência","ocorrência")))</f>
        <v/>
      </c>
      <c r="O216" s="9" t="n"/>
      <c r="P216" s="10" t="n"/>
      <c r="Q216" s="11" t="n"/>
      <c r="R216" s="11" t="n"/>
      <c r="S216" s="11" t="n"/>
      <c r="T216" s="9" t="n"/>
      <c r="U216" s="9" t="n"/>
      <c r="V216" s="8">
        <f>IF(OR(N216="",N216="revisão manual",U216=""),"",IF(OR(AND(U216&gt;0,N216="ocorrência"),AND(U216=0,N216="sem ocorrência")),"OK","FALHA"))</f>
        <v/>
      </c>
      <c r="W216" s="9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8">
        <f>IF(F217="","",IF(F217="misto","revisão manual",IF(OR(F217="pausa_curta",F217="mascara_abaixada",G217="costas"),"sem ocorrência","ocorrência")))</f>
        <v/>
      </c>
      <c r="O217" s="9" t="n"/>
      <c r="P217" s="10" t="n"/>
      <c r="Q217" s="11" t="n"/>
      <c r="R217" s="11" t="n"/>
      <c r="S217" s="11" t="n"/>
      <c r="T217" s="9" t="n"/>
      <c r="U217" s="9" t="n"/>
      <c r="V217" s="8">
        <f>IF(OR(N217="",N217="revisão manual",U217=""),"",IF(OR(AND(U217&gt;0,N217="ocorrência"),AND(U217=0,N217="sem ocorrência")),"OK","FALHA"))</f>
        <v/>
      </c>
      <c r="W217" s="9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8">
        <f>IF(F218="","",IF(F218="misto","revisão manual",IF(OR(F218="pausa_curta",F218="mascara_abaixada",G218="costas"),"sem ocorrência","ocorrência")))</f>
        <v/>
      </c>
      <c r="O218" s="9" t="n"/>
      <c r="P218" s="10" t="n"/>
      <c r="Q218" s="11" t="n"/>
      <c r="R218" s="11" t="n"/>
      <c r="S218" s="11" t="n"/>
      <c r="T218" s="9" t="n"/>
      <c r="U218" s="9" t="n"/>
      <c r="V218" s="8">
        <f>IF(OR(N218="",N218="revisão manual",U218=""),"",IF(OR(AND(U218&gt;0,N218="ocorrência"),AND(U218=0,N218="sem ocorrência")),"OK","FALHA"))</f>
        <v/>
      </c>
      <c r="W218" s="9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8">
        <f>IF(F219="","",IF(F219="misto","revisão manual",IF(OR(F219="pausa_curta",F219="mascara_abaixada",G219="costas"),"sem ocorrência","ocorrência")))</f>
        <v/>
      </c>
      <c r="O219" s="9" t="n"/>
      <c r="P219" s="10" t="n"/>
      <c r="Q219" s="11" t="n"/>
      <c r="R219" s="11" t="n"/>
      <c r="S219" s="11" t="n"/>
      <c r="T219" s="9" t="n"/>
      <c r="U219" s="9" t="n"/>
      <c r="V219" s="8">
        <f>IF(OR(N219="",N219="revisão manual",U219=""),"",IF(OR(AND(U219&gt;0,N219="ocorrência"),AND(U219=0,N219="sem ocorrência")),"OK","FALHA"))</f>
        <v/>
      </c>
      <c r="W219" s="9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8">
        <f>IF(F220="","",IF(F220="misto","revisão manual",IF(OR(F220="pausa_curta",F220="mascara_abaixada",G220="costas"),"sem ocorrência","ocorrência")))</f>
        <v/>
      </c>
      <c r="O220" s="9" t="n"/>
      <c r="P220" s="10" t="n"/>
      <c r="Q220" s="11" t="n"/>
      <c r="R220" s="11" t="n"/>
      <c r="S220" s="11" t="n"/>
      <c r="T220" s="9" t="n"/>
      <c r="U220" s="9" t="n"/>
      <c r="V220" s="8">
        <f>IF(OR(N220="",N220="revisão manual",U220=""),"",IF(OR(AND(U220&gt;0,N220="ocorrência"),AND(U220=0,N220="sem ocorrência")),"OK","FALHA"))</f>
        <v/>
      </c>
      <c r="W220" s="9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8">
        <f>IF(F221="","",IF(F221="misto","revisão manual",IF(OR(F221="pausa_curta",F221="mascara_abaixada",G221="costas"),"sem ocorrência","ocorrência")))</f>
        <v/>
      </c>
      <c r="O221" s="9" t="n"/>
      <c r="P221" s="10" t="n"/>
      <c r="Q221" s="11" t="n"/>
      <c r="R221" s="11" t="n"/>
      <c r="S221" s="11" t="n"/>
      <c r="T221" s="9" t="n"/>
      <c r="U221" s="9" t="n"/>
      <c r="V221" s="8">
        <f>IF(OR(N221="",N221="revisão manual",U221=""),"",IF(OR(AND(U221&gt;0,N221="ocorrência"),AND(U221=0,N221="sem ocorrência")),"OK","FALHA"))</f>
        <v/>
      </c>
      <c r="W221" s="9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8">
        <f>IF(F222="","",IF(F222="misto","revisão manual",IF(OR(F222="pausa_curta",F222="mascara_abaixada",G222="costas"),"sem ocorrência","ocorrência")))</f>
        <v/>
      </c>
      <c r="O222" s="9" t="n"/>
      <c r="P222" s="10" t="n"/>
      <c r="Q222" s="11" t="n"/>
      <c r="R222" s="11" t="n"/>
      <c r="S222" s="11" t="n"/>
      <c r="T222" s="9" t="n"/>
      <c r="U222" s="9" t="n"/>
      <c r="V222" s="8">
        <f>IF(OR(N222="",N222="revisão manual",U222=""),"",IF(OR(AND(U222&gt;0,N222="ocorrência"),AND(U222=0,N222="sem ocorrência")),"OK","FALHA"))</f>
        <v/>
      </c>
      <c r="W222" s="9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8">
        <f>IF(F223="","",IF(F223="misto","revisão manual",IF(OR(F223="pausa_curta",F223="mascara_abaixada",G223="costas"),"sem ocorrência","ocorrência")))</f>
        <v/>
      </c>
      <c r="O223" s="9" t="n"/>
      <c r="P223" s="10" t="n"/>
      <c r="Q223" s="11" t="n"/>
      <c r="R223" s="11" t="n"/>
      <c r="S223" s="11" t="n"/>
      <c r="T223" s="9" t="n"/>
      <c r="U223" s="9" t="n"/>
      <c r="V223" s="8">
        <f>IF(OR(N223="",N223="revisão manual",U223=""),"",IF(OR(AND(U223&gt;0,N223="ocorrência"),AND(U223=0,N223="sem ocorrência")),"OK","FALHA"))</f>
        <v/>
      </c>
      <c r="W223" s="9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8">
        <f>IF(F224="","",IF(F224="misto","revisão manual",IF(OR(F224="pausa_curta",F224="mascara_abaixada",G224="costas"),"sem ocorrência","ocorrência")))</f>
        <v/>
      </c>
      <c r="O224" s="9" t="n"/>
      <c r="P224" s="10" t="n"/>
      <c r="Q224" s="11" t="n"/>
      <c r="R224" s="11" t="n"/>
      <c r="S224" s="11" t="n"/>
      <c r="T224" s="9" t="n"/>
      <c r="U224" s="9" t="n"/>
      <c r="V224" s="8">
        <f>IF(OR(N224="",N224="revisão manual",U224=""),"",IF(OR(AND(U224&gt;0,N224="ocorrência"),AND(U224=0,N224="sem ocorrência")),"OK","FALHA"))</f>
        <v/>
      </c>
      <c r="W224" s="9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8">
        <f>IF(F225="","",IF(F225="misto","revisão manual",IF(OR(F225="pausa_curta",F225="mascara_abaixada",G225="costas"),"sem ocorrência","ocorrência")))</f>
        <v/>
      </c>
      <c r="O225" s="9" t="n"/>
      <c r="P225" s="10" t="n"/>
      <c r="Q225" s="11" t="n"/>
      <c r="R225" s="11" t="n"/>
      <c r="S225" s="11" t="n"/>
      <c r="T225" s="9" t="n"/>
      <c r="U225" s="9" t="n"/>
      <c r="V225" s="8">
        <f>IF(OR(N225="",N225="revisão manual",U225=""),"",IF(OR(AND(U225&gt;0,N225="ocorrência"),AND(U225=0,N225="sem ocorrência")),"OK","FALHA"))</f>
        <v/>
      </c>
      <c r="W225" s="9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8">
        <f>IF(F226="","",IF(F226="misto","revisão manual",IF(OR(F226="pausa_curta",F226="mascara_abaixada",G226="costas"),"sem ocorrência","ocorrência")))</f>
        <v/>
      </c>
      <c r="O226" s="9" t="n"/>
      <c r="P226" s="10" t="n"/>
      <c r="Q226" s="11" t="n"/>
      <c r="R226" s="11" t="n"/>
      <c r="S226" s="11" t="n"/>
      <c r="T226" s="9" t="n"/>
      <c r="U226" s="9" t="n"/>
      <c r="V226" s="8">
        <f>IF(OR(N226="",N226="revisão manual",U226=""),"",IF(OR(AND(U226&gt;0,N226="ocorrência"),AND(U226=0,N226="sem ocorrência")),"OK","FALHA"))</f>
        <v/>
      </c>
      <c r="W226" s="9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8">
        <f>IF(F227="","",IF(F227="misto","revisão manual",IF(OR(F227="pausa_curta",F227="mascara_abaixada",G227="costas"),"sem ocorrência","ocorrência")))</f>
        <v/>
      </c>
      <c r="O227" s="9" t="n"/>
      <c r="P227" s="10" t="n"/>
      <c r="Q227" s="11" t="n"/>
      <c r="R227" s="11" t="n"/>
      <c r="S227" s="11" t="n"/>
      <c r="T227" s="9" t="n"/>
      <c r="U227" s="9" t="n"/>
      <c r="V227" s="8">
        <f>IF(OR(N227="",N227="revisão manual",U227=""),"",IF(OR(AND(U227&gt;0,N227="ocorrência"),AND(U227=0,N227="sem ocorrência")),"OK","FALHA"))</f>
        <v/>
      </c>
      <c r="W227" s="9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8">
        <f>IF(F228="","",IF(F228="misto","revisão manual",IF(OR(F228="pausa_curta",F228="mascara_abaixada",G228="costas"),"sem ocorrência","ocorrência")))</f>
        <v/>
      </c>
      <c r="O228" s="9" t="n"/>
      <c r="P228" s="10" t="n"/>
      <c r="Q228" s="11" t="n"/>
      <c r="R228" s="11" t="n"/>
      <c r="S228" s="11" t="n"/>
      <c r="T228" s="9" t="n"/>
      <c r="U228" s="9" t="n"/>
      <c r="V228" s="8">
        <f>IF(OR(N228="",N228="revisão manual",U228=""),"",IF(OR(AND(U228&gt;0,N228="ocorrência"),AND(U228=0,N228="sem ocorrência")),"OK","FALHA"))</f>
        <v/>
      </c>
      <c r="W228" s="9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8">
        <f>IF(F229="","",IF(F229="misto","revisão manual",IF(OR(F229="pausa_curta",F229="mascara_abaixada",G229="costas"),"sem ocorrência","ocorrência")))</f>
        <v/>
      </c>
      <c r="O229" s="9" t="n"/>
      <c r="P229" s="10" t="n"/>
      <c r="Q229" s="11" t="n"/>
      <c r="R229" s="11" t="n"/>
      <c r="S229" s="11" t="n"/>
      <c r="T229" s="9" t="n"/>
      <c r="U229" s="9" t="n"/>
      <c r="V229" s="8">
        <f>IF(OR(N229="",N229="revisão manual",U229=""),"",IF(OR(AND(U229&gt;0,N229="ocorrência"),AND(U229=0,N229="sem ocorrência")),"OK","FALHA"))</f>
        <v/>
      </c>
      <c r="W229" s="9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8">
        <f>IF(F230="","",IF(F230="misto","revisão manual",IF(OR(F230="pausa_curta",F230="mascara_abaixada",G230="costas"),"sem ocorrência","ocorrência")))</f>
        <v/>
      </c>
      <c r="O230" s="9" t="n"/>
      <c r="P230" s="10" t="n"/>
      <c r="Q230" s="11" t="n"/>
      <c r="R230" s="11" t="n"/>
      <c r="S230" s="11" t="n"/>
      <c r="T230" s="9" t="n"/>
      <c r="U230" s="9" t="n"/>
      <c r="V230" s="8">
        <f>IF(OR(N230="",N230="revisão manual",U230=""),"",IF(OR(AND(U230&gt;0,N230="ocorrência"),AND(U230=0,N230="sem ocorrência")),"OK","FALHA"))</f>
        <v/>
      </c>
      <c r="W230" s="9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8">
        <f>IF(F231="","",IF(F231="misto","revisão manual",IF(OR(F231="pausa_curta",F231="mascara_abaixada",G231="costas"),"sem ocorrência","ocorrência")))</f>
        <v/>
      </c>
      <c r="O231" s="9" t="n"/>
      <c r="P231" s="10" t="n"/>
      <c r="Q231" s="11" t="n"/>
      <c r="R231" s="11" t="n"/>
      <c r="S231" s="11" t="n"/>
      <c r="T231" s="9" t="n"/>
      <c r="U231" s="9" t="n"/>
      <c r="V231" s="8">
        <f>IF(OR(N231="",N231="revisão manual",U231=""),"",IF(OR(AND(U231&gt;0,N231="ocorrência"),AND(U231=0,N231="sem ocorrência")),"OK","FALHA"))</f>
        <v/>
      </c>
      <c r="W231" s="9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8">
        <f>IF(F232="","",IF(F232="misto","revisão manual",IF(OR(F232="pausa_curta",F232="mascara_abaixada",G232="costas"),"sem ocorrência","ocorrência")))</f>
        <v/>
      </c>
      <c r="O232" s="9" t="n"/>
      <c r="P232" s="10" t="n"/>
      <c r="Q232" s="11" t="n"/>
      <c r="R232" s="11" t="n"/>
      <c r="S232" s="11" t="n"/>
      <c r="T232" s="9" t="n"/>
      <c r="U232" s="9" t="n"/>
      <c r="V232" s="8">
        <f>IF(OR(N232="",N232="revisão manual",U232=""),"",IF(OR(AND(U232&gt;0,N232="ocorrência"),AND(U232=0,N232="sem ocorrência")),"OK","FALHA"))</f>
        <v/>
      </c>
      <c r="W232" s="9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8">
        <f>IF(F233="","",IF(F233="misto","revisão manual",IF(OR(F233="pausa_curta",F233="mascara_abaixada",G233="costas"),"sem ocorrência","ocorrência")))</f>
        <v/>
      </c>
      <c r="O233" s="9" t="n"/>
      <c r="P233" s="10" t="n"/>
      <c r="Q233" s="11" t="n"/>
      <c r="R233" s="11" t="n"/>
      <c r="S233" s="11" t="n"/>
      <c r="T233" s="9" t="n"/>
      <c r="U233" s="9" t="n"/>
      <c r="V233" s="8">
        <f>IF(OR(N233="",N233="revisão manual",U233=""),"",IF(OR(AND(U233&gt;0,N233="ocorrência"),AND(U233=0,N233="sem ocorrência")),"OK","FALHA"))</f>
        <v/>
      </c>
      <c r="W233" s="9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8">
        <f>IF(F234="","",IF(F234="misto","revisão manual",IF(OR(F234="pausa_curta",F234="mascara_abaixada",G234="costas"),"sem ocorrência","ocorrência")))</f>
        <v/>
      </c>
      <c r="O234" s="9" t="n"/>
      <c r="P234" s="10" t="n"/>
      <c r="Q234" s="11" t="n"/>
      <c r="R234" s="11" t="n"/>
      <c r="S234" s="11" t="n"/>
      <c r="T234" s="9" t="n"/>
      <c r="U234" s="9" t="n"/>
      <c r="V234" s="8">
        <f>IF(OR(N234="",N234="revisão manual",U234=""),"",IF(OR(AND(U234&gt;0,N234="ocorrência"),AND(U234=0,N234="sem ocorrência")),"OK","FALHA"))</f>
        <v/>
      </c>
      <c r="W234" s="9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8">
        <f>IF(F235="","",IF(F235="misto","revisão manual",IF(OR(F235="pausa_curta",F235="mascara_abaixada",G235="costas"),"sem ocorrência","ocorrência")))</f>
        <v/>
      </c>
      <c r="O235" s="9" t="n"/>
      <c r="P235" s="10" t="n"/>
      <c r="Q235" s="11" t="n"/>
      <c r="R235" s="11" t="n"/>
      <c r="S235" s="11" t="n"/>
      <c r="T235" s="9" t="n"/>
      <c r="U235" s="9" t="n"/>
      <c r="V235" s="8">
        <f>IF(OR(N235="",N235="revisão manual",U235=""),"",IF(OR(AND(U235&gt;0,N235="ocorrência"),AND(U235=0,N235="sem ocorrência")),"OK","FALHA"))</f>
        <v/>
      </c>
      <c r="W235" s="9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8">
        <f>IF(F236="","",IF(F236="misto","revisão manual",IF(OR(F236="pausa_curta",F236="mascara_abaixada",G236="costas"),"sem ocorrência","ocorrência")))</f>
        <v/>
      </c>
      <c r="O236" s="9" t="n"/>
      <c r="P236" s="10" t="n"/>
      <c r="Q236" s="11" t="n"/>
      <c r="R236" s="11" t="n"/>
      <c r="S236" s="11" t="n"/>
      <c r="T236" s="9" t="n"/>
      <c r="U236" s="9" t="n"/>
      <c r="V236" s="8">
        <f>IF(OR(N236="",N236="revisão manual",U236=""),"",IF(OR(AND(U236&gt;0,N236="ocorrência"),AND(U236=0,N236="sem ocorrência")),"OK","FALHA"))</f>
        <v/>
      </c>
      <c r="W236" s="9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8">
        <f>IF(F237="","",IF(F237="misto","revisão manual",IF(OR(F237="pausa_curta",F237="mascara_abaixada",G237="costas"),"sem ocorrência","ocorrência")))</f>
        <v/>
      </c>
      <c r="O237" s="9" t="n"/>
      <c r="P237" s="10" t="n"/>
      <c r="Q237" s="11" t="n"/>
      <c r="R237" s="11" t="n"/>
      <c r="S237" s="11" t="n"/>
      <c r="T237" s="9" t="n"/>
      <c r="U237" s="9" t="n"/>
      <c r="V237" s="8">
        <f>IF(OR(N237="",N237="revisão manual",U237=""),"",IF(OR(AND(U237&gt;0,N237="ocorrência"),AND(U237=0,N237="sem ocorrência")),"OK","FALHA"))</f>
        <v/>
      </c>
      <c r="W237" s="9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8">
        <f>IF(F238="","",IF(F238="misto","revisão manual",IF(OR(F238="pausa_curta",F238="mascara_abaixada",G238="costas"),"sem ocorrência","ocorrência")))</f>
        <v/>
      </c>
      <c r="O238" s="9" t="n"/>
      <c r="P238" s="10" t="n"/>
      <c r="Q238" s="11" t="n"/>
      <c r="R238" s="11" t="n"/>
      <c r="S238" s="11" t="n"/>
      <c r="T238" s="9" t="n"/>
      <c r="U238" s="9" t="n"/>
      <c r="V238" s="8">
        <f>IF(OR(N238="",N238="revisão manual",U238=""),"",IF(OR(AND(U238&gt;0,N238="ocorrência"),AND(U238=0,N238="sem ocorrência")),"OK","FALHA"))</f>
        <v/>
      </c>
      <c r="W238" s="9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8">
        <f>IF(F239="","",IF(F239="misto","revisão manual",IF(OR(F239="pausa_curta",F239="mascara_abaixada",G239="costas"),"sem ocorrência","ocorrência")))</f>
        <v/>
      </c>
      <c r="O239" s="9" t="n"/>
      <c r="P239" s="10" t="n"/>
      <c r="Q239" s="11" t="n"/>
      <c r="R239" s="11" t="n"/>
      <c r="S239" s="11" t="n"/>
      <c r="T239" s="9" t="n"/>
      <c r="U239" s="9" t="n"/>
      <c r="V239" s="8">
        <f>IF(OR(N239="",N239="revisão manual",U239=""),"",IF(OR(AND(U239&gt;0,N239="ocorrência"),AND(U239=0,N239="sem ocorrência")),"OK","FALHA"))</f>
        <v/>
      </c>
      <c r="W239" s="9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8">
        <f>IF(F240="","",IF(F240="misto","revisão manual",IF(OR(F240="pausa_curta",F240="mascara_abaixada",G240="costas"),"sem ocorrência","ocorrência")))</f>
        <v/>
      </c>
      <c r="O240" s="9" t="n"/>
      <c r="P240" s="10" t="n"/>
      <c r="Q240" s="11" t="n"/>
      <c r="R240" s="11" t="n"/>
      <c r="S240" s="11" t="n"/>
      <c r="T240" s="9" t="n"/>
      <c r="U240" s="9" t="n"/>
      <c r="V240" s="8">
        <f>IF(OR(N240="",N240="revisão manual",U240=""),"",IF(OR(AND(U240&gt;0,N240="ocorrência"),AND(U240=0,N240="sem ocorrência")),"OK","FALHA"))</f>
        <v/>
      </c>
      <c r="W240" s="9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8">
        <f>IF(F241="","",IF(F241="misto","revisão manual",IF(OR(F241="pausa_curta",F241="mascara_abaixada",G241="costas"),"sem ocorrência","ocorrência")))</f>
        <v/>
      </c>
      <c r="O241" s="9" t="n"/>
      <c r="P241" s="10" t="n"/>
      <c r="Q241" s="11" t="n"/>
      <c r="R241" s="11" t="n"/>
      <c r="S241" s="11" t="n"/>
      <c r="T241" s="9" t="n"/>
      <c r="U241" s="9" t="n"/>
      <c r="V241" s="8">
        <f>IF(OR(N241="",N241="revisão manual",U241=""),"",IF(OR(AND(U241&gt;0,N241="ocorrência"),AND(U241=0,N241="sem ocorrência")),"OK","FALHA"))</f>
        <v/>
      </c>
      <c r="W241" s="9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8">
        <f>IF(F242="","",IF(F242="misto","revisão manual",IF(OR(F242="pausa_curta",F242="mascara_abaixada",G242="costas"),"sem ocorrência","ocorrência")))</f>
        <v/>
      </c>
      <c r="O242" s="9" t="n"/>
      <c r="P242" s="10" t="n"/>
      <c r="Q242" s="11" t="n"/>
      <c r="R242" s="11" t="n"/>
      <c r="S242" s="11" t="n"/>
      <c r="T242" s="9" t="n"/>
      <c r="U242" s="9" t="n"/>
      <c r="V242" s="8">
        <f>IF(OR(N242="",N242="revisão manual",U242=""),"",IF(OR(AND(U242&gt;0,N242="ocorrência"),AND(U242=0,N242="sem ocorrência")),"OK","FALHA"))</f>
        <v/>
      </c>
      <c r="W242" s="9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8">
        <f>IF(F243="","",IF(F243="misto","revisão manual",IF(OR(F243="pausa_curta",F243="mascara_abaixada",G243="costas"),"sem ocorrência","ocorrência")))</f>
        <v/>
      </c>
      <c r="O243" s="9" t="n"/>
      <c r="P243" s="10" t="n"/>
      <c r="Q243" s="11" t="n"/>
      <c r="R243" s="11" t="n"/>
      <c r="S243" s="11" t="n"/>
      <c r="T243" s="9" t="n"/>
      <c r="U243" s="9" t="n"/>
      <c r="V243" s="8">
        <f>IF(OR(N243="",N243="revisão manual",U243=""),"",IF(OR(AND(U243&gt;0,N243="ocorrência"),AND(U243=0,N243="sem ocorrência")),"OK","FALHA"))</f>
        <v/>
      </c>
      <c r="W243" s="9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8">
        <f>IF(F244="","",IF(F244="misto","revisão manual",IF(OR(F244="pausa_curta",F244="mascara_abaixada",G244="costas"),"sem ocorrência","ocorrência")))</f>
        <v/>
      </c>
      <c r="O244" s="9" t="n"/>
      <c r="P244" s="10" t="n"/>
      <c r="Q244" s="11" t="n"/>
      <c r="R244" s="11" t="n"/>
      <c r="S244" s="11" t="n"/>
      <c r="T244" s="9" t="n"/>
      <c r="U244" s="9" t="n"/>
      <c r="V244" s="8">
        <f>IF(OR(N244="",N244="revisão manual",U244=""),"",IF(OR(AND(U244&gt;0,N244="ocorrência"),AND(U244=0,N244="sem ocorrência")),"OK","FALHA"))</f>
        <v/>
      </c>
      <c r="W244" s="9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8">
        <f>IF(F245="","",IF(F245="misto","revisão manual",IF(OR(F245="pausa_curta",F245="mascara_abaixada",G245="costas"),"sem ocorrência","ocorrência")))</f>
        <v/>
      </c>
      <c r="O245" s="9" t="n"/>
      <c r="P245" s="10" t="n"/>
      <c r="Q245" s="11" t="n"/>
      <c r="R245" s="11" t="n"/>
      <c r="S245" s="11" t="n"/>
      <c r="T245" s="9" t="n"/>
      <c r="U245" s="9" t="n"/>
      <c r="V245" s="8">
        <f>IF(OR(N245="",N245="revisão manual",U245=""),"",IF(OR(AND(U245&gt;0,N245="ocorrência"),AND(U245=0,N245="sem ocorrência")),"OK","FALHA"))</f>
        <v/>
      </c>
      <c r="W245" s="9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8">
        <f>IF(F246="","",IF(F246="misto","revisão manual",IF(OR(F246="pausa_curta",F246="mascara_abaixada",G246="costas"),"sem ocorrência","ocorrência")))</f>
        <v/>
      </c>
      <c r="O246" s="9" t="n"/>
      <c r="P246" s="10" t="n"/>
      <c r="Q246" s="11" t="n"/>
      <c r="R246" s="11" t="n"/>
      <c r="S246" s="11" t="n"/>
      <c r="T246" s="9" t="n"/>
      <c r="U246" s="9" t="n"/>
      <c r="V246" s="8">
        <f>IF(OR(N246="",N246="revisão manual",U246=""),"",IF(OR(AND(U246&gt;0,N246="ocorrência"),AND(U246=0,N246="sem ocorrência")),"OK","FALHA"))</f>
        <v/>
      </c>
      <c r="W246" s="9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8">
        <f>IF(F247="","",IF(F247="misto","revisão manual",IF(OR(F247="pausa_curta",F247="mascara_abaixada",G247="costas"),"sem ocorrência","ocorrência")))</f>
        <v/>
      </c>
      <c r="O247" s="9" t="n"/>
      <c r="P247" s="10" t="n"/>
      <c r="Q247" s="11" t="n"/>
      <c r="R247" s="11" t="n"/>
      <c r="S247" s="11" t="n"/>
      <c r="T247" s="9" t="n"/>
      <c r="U247" s="9" t="n"/>
      <c r="V247" s="8">
        <f>IF(OR(N247="",N247="revisão manual",U247=""),"",IF(OR(AND(U247&gt;0,N247="ocorrência"),AND(U247=0,N247="sem ocorrência")),"OK","FALHA"))</f>
        <v/>
      </c>
      <c r="W247" s="9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8">
        <f>IF(F248="","",IF(F248="misto","revisão manual",IF(OR(F248="pausa_curta",F248="mascara_abaixada",G248="costas"),"sem ocorrência","ocorrência")))</f>
        <v/>
      </c>
      <c r="O248" s="9" t="n"/>
      <c r="P248" s="10" t="n"/>
      <c r="Q248" s="11" t="n"/>
      <c r="R248" s="11" t="n"/>
      <c r="S248" s="11" t="n"/>
      <c r="T248" s="9" t="n"/>
      <c r="U248" s="9" t="n"/>
      <c r="V248" s="8">
        <f>IF(OR(N248="",N248="revisão manual",U248=""),"",IF(OR(AND(U248&gt;0,N248="ocorrência"),AND(U248=0,N248="sem ocorrência")),"OK","FALHA"))</f>
        <v/>
      </c>
      <c r="W248" s="9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8">
        <f>IF(F249="","",IF(F249="misto","revisão manual",IF(OR(F249="pausa_curta",F249="mascara_abaixada",G249="costas"),"sem ocorrência","ocorrência")))</f>
        <v/>
      </c>
      <c r="O249" s="9" t="n"/>
      <c r="P249" s="10" t="n"/>
      <c r="Q249" s="11" t="n"/>
      <c r="R249" s="11" t="n"/>
      <c r="S249" s="11" t="n"/>
      <c r="T249" s="9" t="n"/>
      <c r="U249" s="9" t="n"/>
      <c r="V249" s="8">
        <f>IF(OR(N249="",N249="revisão manual",U249=""),"",IF(OR(AND(U249&gt;0,N249="ocorrência"),AND(U249=0,N249="sem ocorrência")),"OK","FALHA"))</f>
        <v/>
      </c>
      <c r="W249" s="9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8">
        <f>IF(F250="","",IF(F250="misto","revisão manual",IF(OR(F250="pausa_curta",F250="mascara_abaixada",G250="costas"),"sem ocorrência","ocorrência")))</f>
        <v/>
      </c>
      <c r="O250" s="9" t="n"/>
      <c r="P250" s="10" t="n"/>
      <c r="Q250" s="11" t="n"/>
      <c r="R250" s="11" t="n"/>
      <c r="S250" s="11" t="n"/>
      <c r="T250" s="9" t="n"/>
      <c r="U250" s="9" t="n"/>
      <c r="V250" s="8">
        <f>IF(OR(N250="",N250="revisão manual",U250=""),"",IF(OR(AND(U250&gt;0,N250="ocorrência"),AND(U250=0,N250="sem ocorrência")),"OK","FALHA"))</f>
        <v/>
      </c>
      <c r="W250" s="9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8">
        <f>IF(F251="","",IF(F251="misto","revisão manual",IF(OR(F251="pausa_curta",F251="mascara_abaixada",G251="costas"),"sem ocorrência","ocorrência")))</f>
        <v/>
      </c>
      <c r="O251" s="9" t="n"/>
      <c r="P251" s="10" t="n"/>
      <c r="Q251" s="11" t="n"/>
      <c r="R251" s="11" t="n"/>
      <c r="S251" s="11" t="n"/>
      <c r="T251" s="9" t="n"/>
      <c r="U251" s="9" t="n"/>
      <c r="V251" s="8">
        <f>IF(OR(N251="",N251="revisão manual",U251=""),"",IF(OR(AND(U251&gt;0,N251="ocorrência"),AND(U251=0,N251="sem ocorrência")),"OK","FALHA"))</f>
        <v/>
      </c>
      <c r="W251" s="9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8">
        <f>IF(F252="","",IF(F252="misto","revisão manual",IF(OR(F252="pausa_curta",F252="mascara_abaixada",G252="costas"),"sem ocorrência","ocorrência")))</f>
        <v/>
      </c>
      <c r="O252" s="9" t="n"/>
      <c r="P252" s="10" t="n"/>
      <c r="Q252" s="11" t="n"/>
      <c r="R252" s="11" t="n"/>
      <c r="S252" s="11" t="n"/>
      <c r="T252" s="9" t="n"/>
      <c r="U252" s="9" t="n"/>
      <c r="V252" s="8">
        <f>IF(OR(N252="",N252="revisão manual",U252=""),"",IF(OR(AND(U252&gt;0,N252="ocorrência"),AND(U252=0,N252="sem ocorrência")),"OK","FALHA"))</f>
        <v/>
      </c>
      <c r="W252" s="9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8">
        <f>IF(F253="","",IF(F253="misto","revisão manual",IF(OR(F253="pausa_curta",F253="mascara_abaixada",G253="costas"),"sem ocorrência","ocorrência")))</f>
        <v/>
      </c>
      <c r="O253" s="9" t="n"/>
      <c r="P253" s="10" t="n"/>
      <c r="Q253" s="11" t="n"/>
      <c r="R253" s="11" t="n"/>
      <c r="S253" s="11" t="n"/>
      <c r="T253" s="9" t="n"/>
      <c r="U253" s="9" t="n"/>
      <c r="V253" s="8">
        <f>IF(OR(N253="",N253="revisão manual",U253=""),"",IF(OR(AND(U253&gt;0,N253="ocorrência"),AND(U253=0,N253="sem ocorrência")),"OK","FALHA"))</f>
        <v/>
      </c>
      <c r="W253" s="9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8">
        <f>IF(F254="","",IF(F254="misto","revisão manual",IF(OR(F254="pausa_curta",F254="mascara_abaixada",G254="costas"),"sem ocorrência","ocorrência")))</f>
        <v/>
      </c>
      <c r="O254" s="9" t="n"/>
      <c r="P254" s="10" t="n"/>
      <c r="Q254" s="11" t="n"/>
      <c r="R254" s="11" t="n"/>
      <c r="S254" s="11" t="n"/>
      <c r="T254" s="9" t="n"/>
      <c r="U254" s="9" t="n"/>
      <c r="V254" s="8">
        <f>IF(OR(N254="",N254="revisão manual",U254=""),"",IF(OR(AND(U254&gt;0,N254="ocorrência"),AND(U254=0,N254="sem ocorrência")),"OK","FALHA"))</f>
        <v/>
      </c>
      <c r="W254" s="9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8">
        <f>IF(F255="","",IF(F255="misto","revisão manual",IF(OR(F255="pausa_curta",F255="mascara_abaixada",G255="costas"),"sem ocorrência","ocorrência")))</f>
        <v/>
      </c>
      <c r="O255" s="9" t="n"/>
      <c r="P255" s="10" t="n"/>
      <c r="Q255" s="11" t="n"/>
      <c r="R255" s="11" t="n"/>
      <c r="S255" s="11" t="n"/>
      <c r="T255" s="9" t="n"/>
      <c r="U255" s="9" t="n"/>
      <c r="V255" s="8">
        <f>IF(OR(N255="",N255="revisão manual",U255=""),"",IF(OR(AND(U255&gt;0,N255="ocorrência"),AND(U255=0,N255="sem ocorrência")),"OK","FALHA"))</f>
        <v/>
      </c>
      <c r="W255" s="9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8">
        <f>IF(F256="","",IF(F256="misto","revisão manual",IF(OR(F256="pausa_curta",F256="mascara_abaixada",G256="costas"),"sem ocorrência","ocorrência")))</f>
        <v/>
      </c>
      <c r="O256" s="9" t="n"/>
      <c r="P256" s="10" t="n"/>
      <c r="Q256" s="11" t="n"/>
      <c r="R256" s="11" t="n"/>
      <c r="S256" s="11" t="n"/>
      <c r="T256" s="9" t="n"/>
      <c r="U256" s="9" t="n"/>
      <c r="V256" s="8">
        <f>IF(OR(N256="",N256="revisão manual",U256=""),"",IF(OR(AND(U256&gt;0,N256="ocorrência"),AND(U256=0,N256="sem ocorrência")),"OK","FALHA"))</f>
        <v/>
      </c>
      <c r="W256" s="9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8">
        <f>IF(F257="","",IF(F257="misto","revisão manual",IF(OR(F257="pausa_curta",F257="mascara_abaixada",G257="costas"),"sem ocorrência","ocorrência")))</f>
        <v/>
      </c>
      <c r="O257" s="9" t="n"/>
      <c r="P257" s="10" t="n"/>
      <c r="Q257" s="11" t="n"/>
      <c r="R257" s="11" t="n"/>
      <c r="S257" s="11" t="n"/>
      <c r="T257" s="9" t="n"/>
      <c r="U257" s="9" t="n"/>
      <c r="V257" s="8">
        <f>IF(OR(N257="",N257="revisão manual",U257=""),"",IF(OR(AND(U257&gt;0,N257="ocorrência"),AND(U257=0,N257="sem ocorrência")),"OK","FALHA"))</f>
        <v/>
      </c>
      <c r="W257" s="9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8">
        <f>IF(F258="","",IF(F258="misto","revisão manual",IF(OR(F258="pausa_curta",F258="mascara_abaixada",G258="costas"),"sem ocorrência","ocorrência")))</f>
        <v/>
      </c>
      <c r="O258" s="9" t="n"/>
      <c r="P258" s="10" t="n"/>
      <c r="Q258" s="11" t="n"/>
      <c r="R258" s="11" t="n"/>
      <c r="S258" s="11" t="n"/>
      <c r="T258" s="9" t="n"/>
      <c r="U258" s="9" t="n"/>
      <c r="V258" s="8">
        <f>IF(OR(N258="",N258="revisão manual",U258=""),"",IF(OR(AND(U258&gt;0,N258="ocorrência"),AND(U258=0,N258="sem ocorrência")),"OK","FALHA"))</f>
        <v/>
      </c>
      <c r="W258" s="9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8">
        <f>IF(F259="","",IF(F259="misto","revisão manual",IF(OR(F259="pausa_curta",F259="mascara_abaixada",G259="costas"),"sem ocorrência","ocorrência")))</f>
        <v/>
      </c>
      <c r="O259" s="9" t="n"/>
      <c r="P259" s="10" t="n"/>
      <c r="Q259" s="11" t="n"/>
      <c r="R259" s="11" t="n"/>
      <c r="S259" s="11" t="n"/>
      <c r="T259" s="9" t="n"/>
      <c r="U259" s="9" t="n"/>
      <c r="V259" s="8">
        <f>IF(OR(N259="",N259="revisão manual",U259=""),"",IF(OR(AND(U259&gt;0,N259="ocorrência"),AND(U259=0,N259="sem ocorrência")),"OK","FALHA"))</f>
        <v/>
      </c>
      <c r="W259" s="9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8">
        <f>IF(F260="","",IF(F260="misto","revisão manual",IF(OR(F260="pausa_curta",F260="mascara_abaixada",G260="costas"),"sem ocorrência","ocorrência")))</f>
        <v/>
      </c>
      <c r="O260" s="9" t="n"/>
      <c r="P260" s="10" t="n"/>
      <c r="Q260" s="11" t="n"/>
      <c r="R260" s="11" t="n"/>
      <c r="S260" s="11" t="n"/>
      <c r="T260" s="9" t="n"/>
      <c r="U260" s="9" t="n"/>
      <c r="V260" s="8">
        <f>IF(OR(N260="",N260="revisão manual",U260=""),"",IF(OR(AND(U260&gt;0,N260="ocorrência"),AND(U260=0,N260="sem ocorrência")),"OK","FALHA"))</f>
        <v/>
      </c>
      <c r="W260" s="9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8">
        <f>IF(F261="","",IF(F261="misto","revisão manual",IF(OR(F261="pausa_curta",F261="mascara_abaixada",G261="costas"),"sem ocorrência","ocorrência")))</f>
        <v/>
      </c>
      <c r="O261" s="9" t="n"/>
      <c r="P261" s="10" t="n"/>
      <c r="Q261" s="11" t="n"/>
      <c r="R261" s="11" t="n"/>
      <c r="S261" s="11" t="n"/>
      <c r="T261" s="9" t="n"/>
      <c r="U261" s="9" t="n"/>
      <c r="V261" s="8">
        <f>IF(OR(N261="",N261="revisão manual",U261=""),"",IF(OR(AND(U261&gt;0,N261="ocorrência"),AND(U261=0,N261="sem ocorrência")),"OK","FALHA"))</f>
        <v/>
      </c>
      <c r="W261" s="9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8">
        <f>IF(F262="","",IF(F262="misto","revisão manual",IF(OR(F262="pausa_curta",F262="mascara_abaixada",G262="costas"),"sem ocorrência","ocorrência")))</f>
        <v/>
      </c>
      <c r="O262" s="9" t="n"/>
      <c r="P262" s="10" t="n"/>
      <c r="Q262" s="11" t="n"/>
      <c r="R262" s="11" t="n"/>
      <c r="S262" s="11" t="n"/>
      <c r="T262" s="9" t="n"/>
      <c r="U262" s="9" t="n"/>
      <c r="V262" s="8">
        <f>IF(OR(N262="",N262="revisão manual",U262=""),"",IF(OR(AND(U262&gt;0,N262="ocorrência"),AND(U262=0,N262="sem ocorrência")),"OK","FALHA"))</f>
        <v/>
      </c>
      <c r="W262" s="9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8">
        <f>IF(F263="","",IF(F263="misto","revisão manual",IF(OR(F263="pausa_curta",F263="mascara_abaixada",G263="costas"),"sem ocorrência","ocorrência")))</f>
        <v/>
      </c>
      <c r="O263" s="9" t="n"/>
      <c r="P263" s="10" t="n"/>
      <c r="Q263" s="11" t="n"/>
      <c r="R263" s="11" t="n"/>
      <c r="S263" s="11" t="n"/>
      <c r="T263" s="9" t="n"/>
      <c r="U263" s="9" t="n"/>
      <c r="V263" s="8">
        <f>IF(OR(N263="",N263="revisão manual",U263=""),"",IF(OR(AND(U263&gt;0,N263="ocorrência"),AND(U263=0,N263="sem ocorrência")),"OK","FALHA"))</f>
        <v/>
      </c>
      <c r="W263" s="9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8">
        <f>IF(F264="","",IF(F264="misto","revisão manual",IF(OR(F264="pausa_curta",F264="mascara_abaixada",G264="costas"),"sem ocorrência","ocorrência")))</f>
        <v/>
      </c>
      <c r="O264" s="9" t="n"/>
      <c r="P264" s="10" t="n"/>
      <c r="Q264" s="11" t="n"/>
      <c r="R264" s="11" t="n"/>
      <c r="S264" s="11" t="n"/>
      <c r="T264" s="9" t="n"/>
      <c r="U264" s="9" t="n"/>
      <c r="V264" s="8">
        <f>IF(OR(N264="",N264="revisão manual",U264=""),"",IF(OR(AND(U264&gt;0,N264="ocorrência"),AND(U264=0,N264="sem ocorrência")),"OK","FALHA"))</f>
        <v/>
      </c>
      <c r="W264" s="9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8">
        <f>IF(F265="","",IF(F265="misto","revisão manual",IF(OR(F265="pausa_curta",F265="mascara_abaixada",G265="costas"),"sem ocorrência","ocorrência")))</f>
        <v/>
      </c>
      <c r="O265" s="9" t="n"/>
      <c r="P265" s="10" t="n"/>
      <c r="Q265" s="11" t="n"/>
      <c r="R265" s="11" t="n"/>
      <c r="S265" s="11" t="n"/>
      <c r="T265" s="9" t="n"/>
      <c r="U265" s="9" t="n"/>
      <c r="V265" s="8">
        <f>IF(OR(N265="",N265="revisão manual",U265=""),"",IF(OR(AND(U265&gt;0,N265="ocorrência"),AND(U265=0,N265="sem ocorrência")),"OK","FALHA"))</f>
        <v/>
      </c>
      <c r="W265" s="9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8">
        <f>IF(F266="","",IF(F266="misto","revisão manual",IF(OR(F266="pausa_curta",F266="mascara_abaixada",G266="costas"),"sem ocorrência","ocorrência")))</f>
        <v/>
      </c>
      <c r="O266" s="9" t="n"/>
      <c r="P266" s="10" t="n"/>
      <c r="Q266" s="11" t="n"/>
      <c r="R266" s="11" t="n"/>
      <c r="S266" s="11" t="n"/>
      <c r="T266" s="9" t="n"/>
      <c r="U266" s="9" t="n"/>
      <c r="V266" s="8">
        <f>IF(OR(N266="",N266="revisão manual",U266=""),"",IF(OR(AND(U266&gt;0,N266="ocorrência"),AND(U266=0,N266="sem ocorrência")),"OK","FALHA"))</f>
        <v/>
      </c>
      <c r="W266" s="9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8">
        <f>IF(F267="","",IF(F267="misto","revisão manual",IF(OR(F267="pausa_curta",F267="mascara_abaixada",G267="costas"),"sem ocorrência","ocorrência")))</f>
        <v/>
      </c>
      <c r="O267" s="9" t="n"/>
      <c r="P267" s="10" t="n"/>
      <c r="Q267" s="11" t="n"/>
      <c r="R267" s="11" t="n"/>
      <c r="S267" s="11" t="n"/>
      <c r="T267" s="9" t="n"/>
      <c r="U267" s="9" t="n"/>
      <c r="V267" s="8">
        <f>IF(OR(N267="",N267="revisão manual",U267=""),"",IF(OR(AND(U267&gt;0,N267="ocorrência"),AND(U267=0,N267="sem ocorrência")),"OK","FALHA"))</f>
        <v/>
      </c>
      <c r="W267" s="9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8">
        <f>IF(F268="","",IF(F268="misto","revisão manual",IF(OR(F268="pausa_curta",F268="mascara_abaixada",G268="costas"),"sem ocorrência","ocorrência")))</f>
        <v/>
      </c>
      <c r="O268" s="9" t="n"/>
      <c r="P268" s="10" t="n"/>
      <c r="Q268" s="11" t="n"/>
      <c r="R268" s="11" t="n"/>
      <c r="S268" s="11" t="n"/>
      <c r="T268" s="9" t="n"/>
      <c r="U268" s="9" t="n"/>
      <c r="V268" s="8">
        <f>IF(OR(N268="",N268="revisão manual",U268=""),"",IF(OR(AND(U268&gt;0,N268="ocorrência"),AND(U268=0,N268="sem ocorrência")),"OK","FALHA"))</f>
        <v/>
      </c>
      <c r="W268" s="9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8">
        <f>IF(F269="","",IF(F269="misto","revisão manual",IF(OR(F269="pausa_curta",F269="mascara_abaixada",G269="costas"),"sem ocorrência","ocorrência")))</f>
        <v/>
      </c>
      <c r="O269" s="9" t="n"/>
      <c r="P269" s="10" t="n"/>
      <c r="Q269" s="11" t="n"/>
      <c r="R269" s="11" t="n"/>
      <c r="S269" s="11" t="n"/>
      <c r="T269" s="9" t="n"/>
      <c r="U269" s="9" t="n"/>
      <c r="V269" s="8">
        <f>IF(OR(N269="",N269="revisão manual",U269=""),"",IF(OR(AND(U269&gt;0,N269="ocorrência"),AND(U269=0,N269="sem ocorrência")),"OK","FALHA"))</f>
        <v/>
      </c>
      <c r="W269" s="9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8">
        <f>IF(F270="","",IF(F270="misto","revisão manual",IF(OR(F270="pausa_curta",F270="mascara_abaixada",G270="costas"),"sem ocorrência","ocorrência")))</f>
        <v/>
      </c>
      <c r="O270" s="9" t="n"/>
      <c r="P270" s="10" t="n"/>
      <c r="Q270" s="11" t="n"/>
      <c r="R270" s="11" t="n"/>
      <c r="S270" s="11" t="n"/>
      <c r="T270" s="9" t="n"/>
      <c r="U270" s="9" t="n"/>
      <c r="V270" s="8">
        <f>IF(OR(N270="",N270="revisão manual",U270=""),"",IF(OR(AND(U270&gt;0,N270="ocorrência"),AND(U270=0,N270="sem ocorrência")),"OK","FALHA"))</f>
        <v/>
      </c>
      <c r="W270" s="9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8">
        <f>IF(F271="","",IF(F271="misto","revisão manual",IF(OR(F271="pausa_curta",F271="mascara_abaixada",G271="costas"),"sem ocorrência","ocorrência")))</f>
        <v/>
      </c>
      <c r="O271" s="9" t="n"/>
      <c r="P271" s="10" t="n"/>
      <c r="Q271" s="11" t="n"/>
      <c r="R271" s="11" t="n"/>
      <c r="S271" s="11" t="n"/>
      <c r="T271" s="9" t="n"/>
      <c r="U271" s="9" t="n"/>
      <c r="V271" s="8">
        <f>IF(OR(N271="",N271="revisão manual",U271=""),"",IF(OR(AND(U271&gt;0,N271="ocorrência"),AND(U271=0,N271="sem ocorrência")),"OK","FALHA"))</f>
        <v/>
      </c>
      <c r="W271" s="9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8">
        <f>IF(F272="","",IF(F272="misto","revisão manual",IF(OR(F272="pausa_curta",F272="mascara_abaixada",G272="costas"),"sem ocorrência","ocorrência")))</f>
        <v/>
      </c>
      <c r="O272" s="9" t="n"/>
      <c r="P272" s="10" t="n"/>
      <c r="Q272" s="11" t="n"/>
      <c r="R272" s="11" t="n"/>
      <c r="S272" s="11" t="n"/>
      <c r="T272" s="9" t="n"/>
      <c r="U272" s="9" t="n"/>
      <c r="V272" s="8">
        <f>IF(OR(N272="",N272="revisão manual",U272=""),"",IF(OR(AND(U272&gt;0,N272="ocorrência"),AND(U272=0,N272="sem ocorrência")),"OK","FALHA"))</f>
        <v/>
      </c>
      <c r="W272" s="9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8">
        <f>IF(F273="","",IF(F273="misto","revisão manual",IF(OR(F273="pausa_curta",F273="mascara_abaixada",G273="costas"),"sem ocorrência","ocorrência")))</f>
        <v/>
      </c>
      <c r="O273" s="9" t="n"/>
      <c r="P273" s="10" t="n"/>
      <c r="Q273" s="11" t="n"/>
      <c r="R273" s="11" t="n"/>
      <c r="S273" s="11" t="n"/>
      <c r="T273" s="9" t="n"/>
      <c r="U273" s="9" t="n"/>
      <c r="V273" s="8">
        <f>IF(OR(N273="",N273="revisão manual",U273=""),"",IF(OR(AND(U273&gt;0,N273="ocorrência"),AND(U273=0,N273="sem ocorrência")),"OK","FALHA"))</f>
        <v/>
      </c>
      <c r="W273" s="9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8">
        <f>IF(F274="","",IF(F274="misto","revisão manual",IF(OR(F274="pausa_curta",F274="mascara_abaixada",G274="costas"),"sem ocorrência","ocorrência")))</f>
        <v/>
      </c>
      <c r="O274" s="9" t="n"/>
      <c r="P274" s="10" t="n"/>
      <c r="Q274" s="11" t="n"/>
      <c r="R274" s="11" t="n"/>
      <c r="S274" s="11" t="n"/>
      <c r="T274" s="9" t="n"/>
      <c r="U274" s="9" t="n"/>
      <c r="V274" s="8">
        <f>IF(OR(N274="",N274="revisão manual",U274=""),"",IF(OR(AND(U274&gt;0,N274="ocorrência"),AND(U274=0,N274="sem ocorrência")),"OK","FALHA"))</f>
        <v/>
      </c>
      <c r="W274" s="9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8">
        <f>IF(F275="","",IF(F275="misto","revisão manual",IF(OR(F275="pausa_curta",F275="mascara_abaixada",G275="costas"),"sem ocorrência","ocorrência")))</f>
        <v/>
      </c>
      <c r="O275" s="9" t="n"/>
      <c r="P275" s="10" t="n"/>
      <c r="Q275" s="11" t="n"/>
      <c r="R275" s="11" t="n"/>
      <c r="S275" s="11" t="n"/>
      <c r="T275" s="9" t="n"/>
      <c r="U275" s="9" t="n"/>
      <c r="V275" s="8">
        <f>IF(OR(N275="",N275="revisão manual",U275=""),"",IF(OR(AND(U275&gt;0,N275="ocorrência"),AND(U275=0,N275="sem ocorrência")),"OK","FALHA"))</f>
        <v/>
      </c>
      <c r="W275" s="9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8">
        <f>IF(F276="","",IF(F276="misto","revisão manual",IF(OR(F276="pausa_curta",F276="mascara_abaixada",G276="costas"),"sem ocorrência","ocorrência")))</f>
        <v/>
      </c>
      <c r="O276" s="9" t="n"/>
      <c r="P276" s="10" t="n"/>
      <c r="Q276" s="11" t="n"/>
      <c r="R276" s="11" t="n"/>
      <c r="S276" s="11" t="n"/>
      <c r="T276" s="9" t="n"/>
      <c r="U276" s="9" t="n"/>
      <c r="V276" s="8">
        <f>IF(OR(N276="",N276="revisão manual",U276=""),"",IF(OR(AND(U276&gt;0,N276="ocorrência"),AND(U276=0,N276="sem ocorrência")),"OK","FALHA"))</f>
        <v/>
      </c>
      <c r="W276" s="9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8">
        <f>IF(F277="","",IF(F277="misto","revisão manual",IF(OR(F277="pausa_curta",F277="mascara_abaixada",G277="costas"),"sem ocorrência","ocorrência")))</f>
        <v/>
      </c>
      <c r="O277" s="9" t="n"/>
      <c r="P277" s="10" t="n"/>
      <c r="Q277" s="11" t="n"/>
      <c r="R277" s="11" t="n"/>
      <c r="S277" s="11" t="n"/>
      <c r="T277" s="9" t="n"/>
      <c r="U277" s="9" t="n"/>
      <c r="V277" s="8">
        <f>IF(OR(N277="",N277="revisão manual",U277=""),"",IF(OR(AND(U277&gt;0,N277="ocorrência"),AND(U277=0,N277="sem ocorrência")),"OK","FALHA"))</f>
        <v/>
      </c>
      <c r="W277" s="9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8">
        <f>IF(F278="","",IF(F278="misto","revisão manual",IF(OR(F278="pausa_curta",F278="mascara_abaixada",G278="costas"),"sem ocorrência","ocorrência")))</f>
        <v/>
      </c>
      <c r="O278" s="9" t="n"/>
      <c r="P278" s="10" t="n"/>
      <c r="Q278" s="11" t="n"/>
      <c r="R278" s="11" t="n"/>
      <c r="S278" s="11" t="n"/>
      <c r="T278" s="9" t="n"/>
      <c r="U278" s="9" t="n"/>
      <c r="V278" s="8">
        <f>IF(OR(N278="",N278="revisão manual",U278=""),"",IF(OR(AND(U278&gt;0,N278="ocorrência"),AND(U278=0,N278="sem ocorrência")),"OK","FALHA"))</f>
        <v/>
      </c>
      <c r="W278" s="9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8">
        <f>IF(F279="","",IF(F279="misto","revisão manual",IF(OR(F279="pausa_curta",F279="mascara_abaixada",G279="costas"),"sem ocorrência","ocorrência")))</f>
        <v/>
      </c>
      <c r="O279" s="9" t="n"/>
      <c r="P279" s="10" t="n"/>
      <c r="Q279" s="11" t="n"/>
      <c r="R279" s="11" t="n"/>
      <c r="S279" s="11" t="n"/>
      <c r="T279" s="9" t="n"/>
      <c r="U279" s="9" t="n"/>
      <c r="V279" s="8">
        <f>IF(OR(N279="",N279="revisão manual",U279=""),"",IF(OR(AND(U279&gt;0,N279="ocorrência"),AND(U279=0,N279="sem ocorrência")),"OK","FALHA"))</f>
        <v/>
      </c>
      <c r="W279" s="9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8">
        <f>IF(F280="","",IF(F280="misto","revisão manual",IF(OR(F280="pausa_curta",F280="mascara_abaixada",G280="costas"),"sem ocorrência","ocorrência")))</f>
        <v/>
      </c>
      <c r="O280" s="9" t="n"/>
      <c r="P280" s="10" t="n"/>
      <c r="Q280" s="11" t="n"/>
      <c r="R280" s="11" t="n"/>
      <c r="S280" s="11" t="n"/>
      <c r="T280" s="9" t="n"/>
      <c r="U280" s="9" t="n"/>
      <c r="V280" s="8">
        <f>IF(OR(N280="",N280="revisão manual",U280=""),"",IF(OR(AND(U280&gt;0,N280="ocorrência"),AND(U280=0,N280="sem ocorrência")),"OK","FALHA"))</f>
        <v/>
      </c>
      <c r="W280" s="9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8">
        <f>IF(F281="","",IF(F281="misto","revisão manual",IF(OR(F281="pausa_curta",F281="mascara_abaixada",G281="costas"),"sem ocorrência","ocorrência")))</f>
        <v/>
      </c>
      <c r="O281" s="9" t="n"/>
      <c r="P281" s="10" t="n"/>
      <c r="Q281" s="11" t="n"/>
      <c r="R281" s="11" t="n"/>
      <c r="S281" s="11" t="n"/>
      <c r="T281" s="9" t="n"/>
      <c r="U281" s="9" t="n"/>
      <c r="V281" s="8">
        <f>IF(OR(N281="",N281="revisão manual",U281=""),"",IF(OR(AND(U281&gt;0,N281="ocorrência"),AND(U281=0,N281="sem ocorrência")),"OK","FALHA"))</f>
        <v/>
      </c>
      <c r="W281" s="9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8">
        <f>IF(F282="","",IF(F282="misto","revisão manual",IF(OR(F282="pausa_curta",F282="mascara_abaixada",G282="costas"),"sem ocorrência","ocorrência")))</f>
        <v/>
      </c>
      <c r="O282" s="9" t="n"/>
      <c r="P282" s="10" t="n"/>
      <c r="Q282" s="11" t="n"/>
      <c r="R282" s="11" t="n"/>
      <c r="S282" s="11" t="n"/>
      <c r="T282" s="9" t="n"/>
      <c r="U282" s="9" t="n"/>
      <c r="V282" s="8">
        <f>IF(OR(N282="",N282="revisão manual",U282=""),"",IF(OR(AND(U282&gt;0,N282="ocorrência"),AND(U282=0,N282="sem ocorrência")),"OK","FALHA"))</f>
        <v/>
      </c>
      <c r="W282" s="9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8">
        <f>IF(F283="","",IF(F283="misto","revisão manual",IF(OR(F283="pausa_curta",F283="mascara_abaixada",G283="costas"),"sem ocorrência","ocorrência")))</f>
        <v/>
      </c>
      <c r="O283" s="9" t="n"/>
      <c r="P283" s="10" t="n"/>
      <c r="Q283" s="11" t="n"/>
      <c r="R283" s="11" t="n"/>
      <c r="S283" s="11" t="n"/>
      <c r="T283" s="9" t="n"/>
      <c r="U283" s="9" t="n"/>
      <c r="V283" s="8">
        <f>IF(OR(N283="",N283="revisão manual",U283=""),"",IF(OR(AND(U283&gt;0,N283="ocorrência"),AND(U283=0,N283="sem ocorrência")),"OK","FALHA"))</f>
        <v/>
      </c>
      <c r="W283" s="9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8">
        <f>IF(F284="","",IF(F284="misto","revisão manual",IF(OR(F284="pausa_curta",F284="mascara_abaixada",G284="costas"),"sem ocorrência","ocorrência")))</f>
        <v/>
      </c>
      <c r="O284" s="9" t="n"/>
      <c r="P284" s="10" t="n"/>
      <c r="Q284" s="11" t="n"/>
      <c r="R284" s="11" t="n"/>
      <c r="S284" s="11" t="n"/>
      <c r="T284" s="9" t="n"/>
      <c r="U284" s="9" t="n"/>
      <c r="V284" s="8">
        <f>IF(OR(N284="",N284="revisão manual",U284=""),"",IF(OR(AND(U284&gt;0,N284="ocorrência"),AND(U284=0,N284="sem ocorrência")),"OK","FALHA"))</f>
        <v/>
      </c>
      <c r="W284" s="9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8">
        <f>IF(F285="","",IF(F285="misto","revisão manual",IF(OR(F285="pausa_curta",F285="mascara_abaixada",G285="costas"),"sem ocorrência","ocorrência")))</f>
        <v/>
      </c>
      <c r="O285" s="9" t="n"/>
      <c r="P285" s="10" t="n"/>
      <c r="Q285" s="11" t="n"/>
      <c r="R285" s="11" t="n"/>
      <c r="S285" s="11" t="n"/>
      <c r="T285" s="9" t="n"/>
      <c r="U285" s="9" t="n"/>
      <c r="V285" s="8">
        <f>IF(OR(N285="",N285="revisão manual",U285=""),"",IF(OR(AND(U285&gt;0,N285="ocorrência"),AND(U285=0,N285="sem ocorrência")),"OK","FALHA"))</f>
        <v/>
      </c>
      <c r="W285" s="9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8">
        <f>IF(F286="","",IF(F286="misto","revisão manual",IF(OR(F286="pausa_curta",F286="mascara_abaixada",G286="costas"),"sem ocorrência","ocorrência")))</f>
        <v/>
      </c>
      <c r="O286" s="9" t="n"/>
      <c r="P286" s="10" t="n"/>
      <c r="Q286" s="11" t="n"/>
      <c r="R286" s="11" t="n"/>
      <c r="S286" s="11" t="n"/>
      <c r="T286" s="9" t="n"/>
      <c r="U286" s="9" t="n"/>
      <c r="V286" s="8">
        <f>IF(OR(N286="",N286="revisão manual",U286=""),"",IF(OR(AND(U286&gt;0,N286="ocorrência"),AND(U286=0,N286="sem ocorrência")),"OK","FALHA"))</f>
        <v/>
      </c>
      <c r="W286" s="9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8">
        <f>IF(F287="","",IF(F287="misto","revisão manual",IF(OR(F287="pausa_curta",F287="mascara_abaixada",G287="costas"),"sem ocorrência","ocorrência")))</f>
        <v/>
      </c>
      <c r="O287" s="9" t="n"/>
      <c r="P287" s="10" t="n"/>
      <c r="Q287" s="11" t="n"/>
      <c r="R287" s="11" t="n"/>
      <c r="S287" s="11" t="n"/>
      <c r="T287" s="9" t="n"/>
      <c r="U287" s="9" t="n"/>
      <c r="V287" s="8">
        <f>IF(OR(N287="",N287="revisão manual",U287=""),"",IF(OR(AND(U287&gt;0,N287="ocorrência"),AND(U287=0,N287="sem ocorrência")),"OK","FALHA"))</f>
        <v/>
      </c>
      <c r="W287" s="9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8">
        <f>IF(F288="","",IF(F288="misto","revisão manual",IF(OR(F288="pausa_curta",F288="mascara_abaixada",G288="costas"),"sem ocorrência","ocorrência")))</f>
        <v/>
      </c>
      <c r="O288" s="9" t="n"/>
      <c r="P288" s="10" t="n"/>
      <c r="Q288" s="11" t="n"/>
      <c r="R288" s="11" t="n"/>
      <c r="S288" s="11" t="n"/>
      <c r="T288" s="9" t="n"/>
      <c r="U288" s="9" t="n"/>
      <c r="V288" s="8">
        <f>IF(OR(N288="",N288="revisão manual",U288=""),"",IF(OR(AND(U288&gt;0,N288="ocorrência"),AND(U288=0,N288="sem ocorrência")),"OK","FALHA"))</f>
        <v/>
      </c>
      <c r="W288" s="9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8">
        <f>IF(F289="","",IF(F289="misto","revisão manual",IF(OR(F289="pausa_curta",F289="mascara_abaixada",G289="costas"),"sem ocorrência","ocorrência")))</f>
        <v/>
      </c>
      <c r="O289" s="9" t="n"/>
      <c r="P289" s="10" t="n"/>
      <c r="Q289" s="11" t="n"/>
      <c r="R289" s="11" t="n"/>
      <c r="S289" s="11" t="n"/>
      <c r="T289" s="9" t="n"/>
      <c r="U289" s="9" t="n"/>
      <c r="V289" s="8">
        <f>IF(OR(N289="",N289="revisão manual",U289=""),"",IF(OR(AND(U289&gt;0,N289="ocorrência"),AND(U289=0,N289="sem ocorrência")),"OK","FALHA"))</f>
        <v/>
      </c>
      <c r="W289" s="9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8">
        <f>IF(F290="","",IF(F290="misto","revisão manual",IF(OR(F290="pausa_curta",F290="mascara_abaixada",G290="costas"),"sem ocorrência","ocorrência")))</f>
        <v/>
      </c>
      <c r="O290" s="9" t="n"/>
      <c r="P290" s="10" t="n"/>
      <c r="Q290" s="11" t="n"/>
      <c r="R290" s="11" t="n"/>
      <c r="S290" s="11" t="n"/>
      <c r="T290" s="9" t="n"/>
      <c r="U290" s="9" t="n"/>
      <c r="V290" s="8">
        <f>IF(OR(N290="",N290="revisão manual",U290=""),"",IF(OR(AND(U290&gt;0,N290="ocorrência"),AND(U290=0,N290="sem ocorrência")),"OK","FALHA"))</f>
        <v/>
      </c>
      <c r="W290" s="9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8">
        <f>IF(F291="","",IF(F291="misto","revisão manual",IF(OR(F291="pausa_curta",F291="mascara_abaixada",G291="costas"),"sem ocorrência","ocorrência")))</f>
        <v/>
      </c>
      <c r="O291" s="9" t="n"/>
      <c r="P291" s="10" t="n"/>
      <c r="Q291" s="11" t="n"/>
      <c r="R291" s="11" t="n"/>
      <c r="S291" s="11" t="n"/>
      <c r="T291" s="9" t="n"/>
      <c r="U291" s="9" t="n"/>
      <c r="V291" s="8">
        <f>IF(OR(N291="",N291="revisão manual",U291=""),"",IF(OR(AND(U291&gt;0,N291="ocorrência"),AND(U291=0,N291="sem ocorrência")),"OK","FALHA"))</f>
        <v/>
      </c>
      <c r="W291" s="9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8">
        <f>IF(F292="","",IF(F292="misto","revisão manual",IF(OR(F292="pausa_curta",F292="mascara_abaixada",G292="costas"),"sem ocorrência","ocorrência")))</f>
        <v/>
      </c>
      <c r="O292" s="9" t="n"/>
      <c r="P292" s="10" t="n"/>
      <c r="Q292" s="11" t="n"/>
      <c r="R292" s="11" t="n"/>
      <c r="S292" s="11" t="n"/>
      <c r="T292" s="9" t="n"/>
      <c r="U292" s="9" t="n"/>
      <c r="V292" s="8">
        <f>IF(OR(N292="",N292="revisão manual",U292=""),"",IF(OR(AND(U292&gt;0,N292="ocorrência"),AND(U292=0,N292="sem ocorrência")),"OK","FALHA"))</f>
        <v/>
      </c>
      <c r="W292" s="9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8">
        <f>IF(F293="","",IF(F293="misto","revisão manual",IF(OR(F293="pausa_curta",F293="mascara_abaixada",G293="costas"),"sem ocorrência","ocorrência")))</f>
        <v/>
      </c>
      <c r="O293" s="9" t="n"/>
      <c r="P293" s="10" t="n"/>
      <c r="Q293" s="11" t="n"/>
      <c r="R293" s="11" t="n"/>
      <c r="S293" s="11" t="n"/>
      <c r="T293" s="9" t="n"/>
      <c r="U293" s="9" t="n"/>
      <c r="V293" s="8">
        <f>IF(OR(N293="",N293="revisão manual",U293=""),"",IF(OR(AND(U293&gt;0,N293="ocorrência"),AND(U293=0,N293="sem ocorrência")),"OK","FALHA"))</f>
        <v/>
      </c>
      <c r="W293" s="9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8">
        <f>IF(F294="","",IF(F294="misto","revisão manual",IF(OR(F294="pausa_curta",F294="mascara_abaixada",G294="costas"),"sem ocorrência","ocorrência")))</f>
        <v/>
      </c>
      <c r="O294" s="9" t="n"/>
      <c r="P294" s="10" t="n"/>
      <c r="Q294" s="11" t="n"/>
      <c r="R294" s="11" t="n"/>
      <c r="S294" s="11" t="n"/>
      <c r="T294" s="9" t="n"/>
      <c r="U294" s="9" t="n"/>
      <c r="V294" s="8">
        <f>IF(OR(N294="",N294="revisão manual",U294=""),"",IF(OR(AND(U294&gt;0,N294="ocorrência"),AND(U294=0,N294="sem ocorrência")),"OK","FALHA"))</f>
        <v/>
      </c>
      <c r="W294" s="9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8">
        <f>IF(F295="","",IF(F295="misto","revisão manual",IF(OR(F295="pausa_curta",F295="mascara_abaixada",G295="costas"),"sem ocorrência","ocorrência")))</f>
        <v/>
      </c>
      <c r="O295" s="9" t="n"/>
      <c r="P295" s="10" t="n"/>
      <c r="Q295" s="11" t="n"/>
      <c r="R295" s="11" t="n"/>
      <c r="S295" s="11" t="n"/>
      <c r="T295" s="9" t="n"/>
      <c r="U295" s="9" t="n"/>
      <c r="V295" s="8">
        <f>IF(OR(N295="",N295="revisão manual",U295=""),"",IF(OR(AND(U295&gt;0,N295="ocorrência"),AND(U295=0,N295="sem ocorrência")),"OK","FALHA"))</f>
        <v/>
      </c>
      <c r="W295" s="9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8">
        <f>IF(F296="","",IF(F296="misto","revisão manual",IF(OR(F296="pausa_curta",F296="mascara_abaixada",G296="costas"),"sem ocorrência","ocorrência")))</f>
        <v/>
      </c>
      <c r="O296" s="9" t="n"/>
      <c r="P296" s="10" t="n"/>
      <c r="Q296" s="11" t="n"/>
      <c r="R296" s="11" t="n"/>
      <c r="S296" s="11" t="n"/>
      <c r="T296" s="9" t="n"/>
      <c r="U296" s="9" t="n"/>
      <c r="V296" s="8">
        <f>IF(OR(N296="",N296="revisão manual",U296=""),"",IF(OR(AND(U296&gt;0,N296="ocorrência"),AND(U296=0,N296="sem ocorrência")),"OK","FALHA"))</f>
        <v/>
      </c>
      <c r="W296" s="9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8">
        <f>IF(F297="","",IF(F297="misto","revisão manual",IF(OR(F297="pausa_curta",F297="mascara_abaixada",G297="costas"),"sem ocorrência","ocorrência")))</f>
        <v/>
      </c>
      <c r="O297" s="9" t="n"/>
      <c r="P297" s="10" t="n"/>
      <c r="Q297" s="11" t="n"/>
      <c r="R297" s="11" t="n"/>
      <c r="S297" s="11" t="n"/>
      <c r="T297" s="9" t="n"/>
      <c r="U297" s="9" t="n"/>
      <c r="V297" s="8">
        <f>IF(OR(N297="",N297="revisão manual",U297=""),"",IF(OR(AND(U297&gt;0,N297="ocorrência"),AND(U297=0,N297="sem ocorrência")),"OK","FALHA"))</f>
        <v/>
      </c>
      <c r="W297" s="9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8">
        <f>IF(F298="","",IF(F298="misto","revisão manual",IF(OR(F298="pausa_curta",F298="mascara_abaixada",G298="costas"),"sem ocorrência","ocorrência")))</f>
        <v/>
      </c>
      <c r="O298" s="9" t="n"/>
      <c r="P298" s="10" t="n"/>
      <c r="Q298" s="11" t="n"/>
      <c r="R298" s="11" t="n"/>
      <c r="S298" s="11" t="n"/>
      <c r="T298" s="9" t="n"/>
      <c r="U298" s="9" t="n"/>
      <c r="V298" s="8">
        <f>IF(OR(N298="",N298="revisão manual",U298=""),"",IF(OR(AND(U298&gt;0,N298="ocorrência"),AND(U298=0,N298="sem ocorrência")),"OK","FALHA"))</f>
        <v/>
      </c>
      <c r="W298" s="9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8">
        <f>IF(F299="","",IF(F299="misto","revisão manual",IF(OR(F299="pausa_curta",F299="mascara_abaixada",G299="costas"),"sem ocorrência","ocorrência")))</f>
        <v/>
      </c>
      <c r="O299" s="9" t="n"/>
      <c r="P299" s="10" t="n"/>
      <c r="Q299" s="11" t="n"/>
      <c r="R299" s="11" t="n"/>
      <c r="S299" s="11" t="n"/>
      <c r="T299" s="9" t="n"/>
      <c r="U299" s="9" t="n"/>
      <c r="V299" s="8">
        <f>IF(OR(N299="",N299="revisão manual",U299=""),"",IF(OR(AND(U299&gt;0,N299="ocorrência"),AND(U299=0,N299="sem ocorrência")),"OK","FALHA"))</f>
        <v/>
      </c>
      <c r="W299" s="9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8">
        <f>IF(F300="","",IF(F300="misto","revisão manual",IF(OR(F300="pausa_curta",F300="mascara_abaixada",G300="costas"),"sem ocorrência","ocorrência")))</f>
        <v/>
      </c>
      <c r="O300" s="9" t="n"/>
      <c r="P300" s="10" t="n"/>
      <c r="Q300" s="11" t="n"/>
      <c r="R300" s="11" t="n"/>
      <c r="S300" s="11" t="n"/>
      <c r="T300" s="9" t="n"/>
      <c r="U300" s="9" t="n"/>
      <c r="V300" s="8">
        <f>IF(OR(N300="",N300="revisão manual",U300=""),"",IF(OR(AND(U300&gt;0,N300="ocorrência"),AND(U300=0,N300="sem ocorrência")),"OK","FALHA"))</f>
        <v/>
      </c>
      <c r="W300" s="9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8">
        <f>IF(F301="","",IF(F301="misto","revisão manual",IF(OR(F301="pausa_curta",F301="mascara_abaixada",G301="costas"),"sem ocorrência","ocorrência")))</f>
        <v/>
      </c>
      <c r="O301" s="9" t="n"/>
      <c r="P301" s="10" t="n"/>
      <c r="Q301" s="11" t="n"/>
      <c r="R301" s="11" t="n"/>
      <c r="S301" s="11" t="n"/>
      <c r="T301" s="9" t="n"/>
      <c r="U301" s="9" t="n"/>
      <c r="V301" s="8">
        <f>IF(OR(N301="",N301="revisão manual",U301=""),"",IF(OR(AND(U301&gt;0,N301="ocorrência"),AND(U301=0,N301="sem ocorrência")),"OK","FALHA"))</f>
        <v/>
      </c>
      <c r="W301" s="9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8">
        <f>IF(F302="","",IF(F302="misto","revisão manual",IF(OR(F302="pausa_curta",F302="mascara_abaixada",G302="costas"),"sem ocorrência","ocorrência")))</f>
        <v/>
      </c>
      <c r="O302" s="9" t="n"/>
      <c r="P302" s="10" t="n"/>
      <c r="Q302" s="11" t="n"/>
      <c r="R302" s="11" t="n"/>
      <c r="S302" s="11" t="n"/>
      <c r="T302" s="9" t="n"/>
      <c r="U302" s="9" t="n"/>
      <c r="V302" s="8">
        <f>IF(OR(N302="",N302="revisão manual",U302=""),"",IF(OR(AND(U302&gt;0,N302="ocorrência"),AND(U302=0,N302="sem ocorrência")),"OK","FALHA"))</f>
        <v/>
      </c>
      <c r="W302" s="9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8">
        <f>IF(F303="","",IF(F303="misto","revisão manual",IF(OR(F303="pausa_curta",F303="mascara_abaixada",G303="costas"),"sem ocorrência","ocorrência")))</f>
        <v/>
      </c>
      <c r="O303" s="9" t="n"/>
      <c r="P303" s="10" t="n"/>
      <c r="Q303" s="11" t="n"/>
      <c r="R303" s="11" t="n"/>
      <c r="S303" s="11" t="n"/>
      <c r="T303" s="9" t="n"/>
      <c r="U303" s="9" t="n"/>
      <c r="V303" s="8">
        <f>IF(OR(N303="",N303="revisão manual",U303=""),"",IF(OR(AND(U303&gt;0,N303="ocorrência"),AND(U303=0,N303="sem ocorrência")),"OK","FALHA"))</f>
        <v/>
      </c>
      <c r="W303" s="9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8">
        <f>IF(F304="","",IF(F304="misto","revisão manual",IF(OR(F304="pausa_curta",F304="mascara_abaixada",G304="costas"),"sem ocorrência","ocorrência")))</f>
        <v/>
      </c>
      <c r="O304" s="9" t="n"/>
      <c r="P304" s="10" t="n"/>
      <c r="Q304" s="11" t="n"/>
      <c r="R304" s="11" t="n"/>
      <c r="S304" s="11" t="n"/>
      <c r="T304" s="9" t="n"/>
      <c r="U304" s="9" t="n"/>
      <c r="V304" s="8">
        <f>IF(OR(N304="",N304="revisão manual",U304=""),"",IF(OR(AND(U304&gt;0,N304="ocorrência"),AND(U304=0,N304="sem ocorrência")),"OK","FALHA"))</f>
        <v/>
      </c>
      <c r="W304" s="9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8">
        <f>IF(F305="","",IF(F305="misto","revisão manual",IF(OR(F305="pausa_curta",F305="mascara_abaixada",G305="costas"),"sem ocorrência","ocorrência")))</f>
        <v/>
      </c>
      <c r="O305" s="9" t="n"/>
      <c r="P305" s="10" t="n"/>
      <c r="Q305" s="11" t="n"/>
      <c r="R305" s="11" t="n"/>
      <c r="S305" s="11" t="n"/>
      <c r="T305" s="9" t="n"/>
      <c r="U305" s="9" t="n"/>
      <c r="V305" s="8">
        <f>IF(OR(N305="",N305="revisão manual",U305=""),"",IF(OR(AND(U305&gt;0,N305="ocorrência"),AND(U305=0,N305="sem ocorrência")),"OK","FALHA"))</f>
        <v/>
      </c>
      <c r="W305" s="9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8">
        <f>IF(F306="","",IF(F306="misto","revisão manual",IF(OR(F306="pausa_curta",F306="mascara_abaixada",G306="costas"),"sem ocorrência","ocorrência")))</f>
        <v/>
      </c>
      <c r="O306" s="9" t="n"/>
      <c r="P306" s="10" t="n"/>
      <c r="Q306" s="11" t="n"/>
      <c r="R306" s="11" t="n"/>
      <c r="S306" s="11" t="n"/>
      <c r="T306" s="9" t="n"/>
      <c r="U306" s="9" t="n"/>
      <c r="V306" s="8">
        <f>IF(OR(N306="",N306="revisão manual",U306=""),"",IF(OR(AND(U306&gt;0,N306="ocorrência"),AND(U306=0,N306="sem ocorrência")),"OK","FALHA"))</f>
        <v/>
      </c>
      <c r="W306" s="9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8">
        <f>IF(F307="","",IF(F307="misto","revisão manual",IF(OR(F307="pausa_curta",F307="mascara_abaixada",G307="costas"),"sem ocorrência","ocorrência")))</f>
        <v/>
      </c>
      <c r="O307" s="9" t="n"/>
      <c r="P307" s="10" t="n"/>
      <c r="Q307" s="11" t="n"/>
      <c r="R307" s="11" t="n"/>
      <c r="S307" s="11" t="n"/>
      <c r="T307" s="9" t="n"/>
      <c r="U307" s="9" t="n"/>
      <c r="V307" s="8">
        <f>IF(OR(N307="",N307="revisão manual",U307=""),"",IF(OR(AND(U307&gt;0,N307="ocorrência"),AND(U307=0,N307="sem ocorrência")),"OK","FALHA"))</f>
        <v/>
      </c>
      <c r="W307" s="9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8">
        <f>IF(F308="","",IF(F308="misto","revisão manual",IF(OR(F308="pausa_curta",F308="mascara_abaixada",G308="costas"),"sem ocorrência","ocorrência")))</f>
        <v/>
      </c>
      <c r="O308" s="9" t="n"/>
      <c r="P308" s="10" t="n"/>
      <c r="Q308" s="11" t="n"/>
      <c r="R308" s="11" t="n"/>
      <c r="S308" s="11" t="n"/>
      <c r="T308" s="9" t="n"/>
      <c r="U308" s="9" t="n"/>
      <c r="V308" s="8">
        <f>IF(OR(N308="",N308="revisão manual",U308=""),"",IF(OR(AND(U308&gt;0,N308="ocorrência"),AND(U308=0,N308="sem ocorrência")),"OK","FALHA"))</f>
        <v/>
      </c>
      <c r="W308" s="9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8">
        <f>IF(F309="","",IF(F309="misto","revisão manual",IF(OR(F309="pausa_curta",F309="mascara_abaixada",G309="costas"),"sem ocorrência","ocorrência")))</f>
        <v/>
      </c>
      <c r="O309" s="9" t="n"/>
      <c r="P309" s="10" t="n"/>
      <c r="Q309" s="11" t="n"/>
      <c r="R309" s="11" t="n"/>
      <c r="S309" s="11" t="n"/>
      <c r="T309" s="9" t="n"/>
      <c r="U309" s="9" t="n"/>
      <c r="V309" s="8">
        <f>IF(OR(N309="",N309="revisão manual",U309=""),"",IF(OR(AND(U309&gt;0,N309="ocorrência"),AND(U309=0,N309="sem ocorrência")),"OK","FALHA"))</f>
        <v/>
      </c>
      <c r="W309" s="9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8">
        <f>IF(F310="","",IF(F310="misto","revisão manual",IF(OR(F310="pausa_curta",F310="mascara_abaixada",G310="costas"),"sem ocorrência","ocorrência")))</f>
        <v/>
      </c>
      <c r="O310" s="9" t="n"/>
      <c r="P310" s="10" t="n"/>
      <c r="Q310" s="11" t="n"/>
      <c r="R310" s="11" t="n"/>
      <c r="S310" s="11" t="n"/>
      <c r="T310" s="9" t="n"/>
      <c r="U310" s="9" t="n"/>
      <c r="V310" s="8">
        <f>IF(OR(N310="",N310="revisão manual",U310=""),"",IF(OR(AND(U310&gt;0,N310="ocorrência"),AND(U310=0,N310="sem ocorrência")),"OK","FALHA"))</f>
        <v/>
      </c>
      <c r="W310" s="9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8">
        <f>IF(F311="","",IF(F311="misto","revisão manual",IF(OR(F311="pausa_curta",F311="mascara_abaixada",G311="costas"),"sem ocorrência","ocorrência")))</f>
        <v/>
      </c>
      <c r="O311" s="9" t="n"/>
      <c r="P311" s="10" t="n"/>
      <c r="Q311" s="11" t="n"/>
      <c r="R311" s="11" t="n"/>
      <c r="S311" s="11" t="n"/>
      <c r="T311" s="9" t="n"/>
      <c r="U311" s="9" t="n"/>
      <c r="V311" s="8">
        <f>IF(OR(N311="",N311="revisão manual",U311=""),"",IF(OR(AND(U311&gt;0,N311="ocorrência"),AND(U311=0,N311="sem ocorrência")),"OK","FALHA"))</f>
        <v/>
      </c>
      <c r="W311" s="9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8">
        <f>IF(F312="","",IF(F312="misto","revisão manual",IF(OR(F312="pausa_curta",F312="mascara_abaixada",G312="costas"),"sem ocorrência","ocorrência")))</f>
        <v/>
      </c>
      <c r="O312" s="9" t="n"/>
      <c r="P312" s="10" t="n"/>
      <c r="Q312" s="11" t="n"/>
      <c r="R312" s="11" t="n"/>
      <c r="S312" s="11" t="n"/>
      <c r="T312" s="9" t="n"/>
      <c r="U312" s="9" t="n"/>
      <c r="V312" s="8">
        <f>IF(OR(N312="",N312="revisão manual",U312=""),"",IF(OR(AND(U312&gt;0,N312="ocorrência"),AND(U312=0,N312="sem ocorrência")),"OK","FALHA"))</f>
        <v/>
      </c>
      <c r="W312" s="9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8">
        <f>IF(F313="","",IF(F313="misto","revisão manual",IF(OR(F313="pausa_curta",F313="mascara_abaixada",G313="costas"),"sem ocorrência","ocorrência")))</f>
        <v/>
      </c>
      <c r="O313" s="9" t="n"/>
      <c r="P313" s="10" t="n"/>
      <c r="Q313" s="11" t="n"/>
      <c r="R313" s="11" t="n"/>
      <c r="S313" s="11" t="n"/>
      <c r="T313" s="9" t="n"/>
      <c r="U313" s="9" t="n"/>
      <c r="V313" s="8">
        <f>IF(OR(N313="",N313="revisão manual",U313=""),"",IF(OR(AND(U313&gt;0,N313="ocorrência"),AND(U313=0,N313="sem ocorrência")),"OK","FALHA"))</f>
        <v/>
      </c>
      <c r="W313" s="9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8">
        <f>IF(F314="","",IF(F314="misto","revisão manual",IF(OR(F314="pausa_curta",F314="mascara_abaixada",G314="costas"),"sem ocorrência","ocorrência")))</f>
        <v/>
      </c>
      <c r="O314" s="9" t="n"/>
      <c r="P314" s="10" t="n"/>
      <c r="Q314" s="11" t="n"/>
      <c r="R314" s="11" t="n"/>
      <c r="S314" s="11" t="n"/>
      <c r="T314" s="9" t="n"/>
      <c r="U314" s="9" t="n"/>
      <c r="V314" s="8">
        <f>IF(OR(N314="",N314="revisão manual",U314=""),"",IF(OR(AND(U314&gt;0,N314="ocorrência"),AND(U314=0,N314="sem ocorrência")),"OK","FALHA"))</f>
        <v/>
      </c>
      <c r="W314" s="9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8">
        <f>IF(F315="","",IF(F315="misto","revisão manual",IF(OR(F315="pausa_curta",F315="mascara_abaixada",G315="costas"),"sem ocorrência","ocorrência")))</f>
        <v/>
      </c>
      <c r="O315" s="9" t="n"/>
      <c r="P315" s="10" t="n"/>
      <c r="Q315" s="11" t="n"/>
      <c r="R315" s="11" t="n"/>
      <c r="S315" s="11" t="n"/>
      <c r="T315" s="9" t="n"/>
      <c r="U315" s="9" t="n"/>
      <c r="V315" s="8">
        <f>IF(OR(N315="",N315="revisão manual",U315=""),"",IF(OR(AND(U315&gt;0,N315="ocorrência"),AND(U315=0,N315="sem ocorrência")),"OK","FALHA"))</f>
        <v/>
      </c>
      <c r="W315" s="9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8">
        <f>IF(F316="","",IF(F316="misto","revisão manual",IF(OR(F316="pausa_curta",F316="mascara_abaixada",G316="costas"),"sem ocorrência","ocorrência")))</f>
        <v/>
      </c>
      <c r="O316" s="9" t="n"/>
      <c r="P316" s="10" t="n"/>
      <c r="Q316" s="11" t="n"/>
      <c r="R316" s="11" t="n"/>
      <c r="S316" s="11" t="n"/>
      <c r="T316" s="9" t="n"/>
      <c r="U316" s="9" t="n"/>
      <c r="V316" s="8">
        <f>IF(OR(N316="",N316="revisão manual",U316=""),"",IF(OR(AND(U316&gt;0,N316="ocorrência"),AND(U316=0,N316="sem ocorrência")),"OK","FALHA"))</f>
        <v/>
      </c>
      <c r="W316" s="9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8">
        <f>IF(F317="","",IF(F317="misto","revisão manual",IF(OR(F317="pausa_curta",F317="mascara_abaixada",G317="costas"),"sem ocorrência","ocorrência")))</f>
        <v/>
      </c>
      <c r="O317" s="9" t="n"/>
      <c r="P317" s="10" t="n"/>
      <c r="Q317" s="11" t="n"/>
      <c r="R317" s="11" t="n"/>
      <c r="S317" s="11" t="n"/>
      <c r="T317" s="9" t="n"/>
      <c r="U317" s="9" t="n"/>
      <c r="V317" s="8">
        <f>IF(OR(N317="",N317="revisão manual",U317=""),"",IF(OR(AND(U317&gt;0,N317="ocorrência"),AND(U317=0,N317="sem ocorrência")),"OK","FALHA"))</f>
        <v/>
      </c>
      <c r="W317" s="9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8">
        <f>IF(F318="","",IF(F318="misto","revisão manual",IF(OR(F318="pausa_curta",F318="mascara_abaixada",G318="costas"),"sem ocorrência","ocorrência")))</f>
        <v/>
      </c>
      <c r="O318" s="9" t="n"/>
      <c r="P318" s="10" t="n"/>
      <c r="Q318" s="11" t="n"/>
      <c r="R318" s="11" t="n"/>
      <c r="S318" s="11" t="n"/>
      <c r="T318" s="9" t="n"/>
      <c r="U318" s="9" t="n"/>
      <c r="V318" s="8">
        <f>IF(OR(N318="",N318="revisão manual",U318=""),"",IF(OR(AND(U318&gt;0,N318="ocorrência"),AND(U318=0,N318="sem ocorrência")),"OK","FALHA"))</f>
        <v/>
      </c>
      <c r="W318" s="9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8">
        <f>IF(F319="","",IF(F319="misto","revisão manual",IF(OR(F319="pausa_curta",F319="mascara_abaixada",G319="costas"),"sem ocorrência","ocorrência")))</f>
        <v/>
      </c>
      <c r="O319" s="9" t="n"/>
      <c r="P319" s="10" t="n"/>
      <c r="Q319" s="11" t="n"/>
      <c r="R319" s="11" t="n"/>
      <c r="S319" s="11" t="n"/>
      <c r="T319" s="9" t="n"/>
      <c r="U319" s="9" t="n"/>
      <c r="V319" s="8">
        <f>IF(OR(N319="",N319="revisão manual",U319=""),"",IF(OR(AND(U319&gt;0,N319="ocorrência"),AND(U319=0,N319="sem ocorrência")),"OK","FALHA"))</f>
        <v/>
      </c>
      <c r="W319" s="9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8">
        <f>IF(F320="","",IF(F320="misto","revisão manual",IF(OR(F320="pausa_curta",F320="mascara_abaixada",G320="costas"),"sem ocorrência","ocorrência")))</f>
        <v/>
      </c>
      <c r="O320" s="9" t="n"/>
      <c r="P320" s="10" t="n"/>
      <c r="Q320" s="11" t="n"/>
      <c r="R320" s="11" t="n"/>
      <c r="S320" s="11" t="n"/>
      <c r="T320" s="9" t="n"/>
      <c r="U320" s="9" t="n"/>
      <c r="V320" s="8">
        <f>IF(OR(N320="",N320="revisão manual",U320=""),"",IF(OR(AND(U320&gt;0,N320="ocorrência"),AND(U320=0,N320="sem ocorrência")),"OK","FALHA"))</f>
        <v/>
      </c>
      <c r="W320" s="9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8">
        <f>IF(F321="","",IF(F321="misto","revisão manual",IF(OR(F321="pausa_curta",F321="mascara_abaixada",G321="costas"),"sem ocorrência","ocorrência")))</f>
        <v/>
      </c>
      <c r="O321" s="9" t="n"/>
      <c r="P321" s="10" t="n"/>
      <c r="Q321" s="11" t="n"/>
      <c r="R321" s="11" t="n"/>
      <c r="S321" s="11" t="n"/>
      <c r="T321" s="9" t="n"/>
      <c r="U321" s="9" t="n"/>
      <c r="V321" s="8">
        <f>IF(OR(N321="",N321="revisão manual",U321=""),"",IF(OR(AND(U321&gt;0,N321="ocorrência"),AND(U321=0,N321="sem ocorrência")),"OK","FALHA"))</f>
        <v/>
      </c>
      <c r="W321" s="9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8">
        <f>IF(F322="","",IF(F322="misto","revisão manual",IF(OR(F322="pausa_curta",F322="mascara_abaixada",G322="costas"),"sem ocorrência","ocorrência")))</f>
        <v/>
      </c>
      <c r="O322" s="9" t="n"/>
      <c r="P322" s="10" t="n"/>
      <c r="Q322" s="11" t="n"/>
      <c r="R322" s="11" t="n"/>
      <c r="S322" s="11" t="n"/>
      <c r="T322" s="9" t="n"/>
      <c r="U322" s="9" t="n"/>
      <c r="V322" s="8">
        <f>IF(OR(N322="",N322="revisão manual",U322=""),"",IF(OR(AND(U322&gt;0,N322="ocorrência"),AND(U322=0,N322="sem ocorrência")),"OK","FALHA"))</f>
        <v/>
      </c>
      <c r="W322" s="9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8">
        <f>IF(F323="","",IF(F323="misto","revisão manual",IF(OR(F323="pausa_curta",F323="mascara_abaixada",G323="costas"),"sem ocorrência","ocorrência")))</f>
        <v/>
      </c>
      <c r="O323" s="9" t="n"/>
      <c r="P323" s="10" t="n"/>
      <c r="Q323" s="11" t="n"/>
      <c r="R323" s="11" t="n"/>
      <c r="S323" s="11" t="n"/>
      <c r="T323" s="9" t="n"/>
      <c r="U323" s="9" t="n"/>
      <c r="V323" s="8">
        <f>IF(OR(N323="",N323="revisão manual",U323=""),"",IF(OR(AND(U323&gt;0,N323="ocorrência"),AND(U323=0,N323="sem ocorrência")),"OK","FALHA"))</f>
        <v/>
      </c>
      <c r="W323" s="9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8">
        <f>IF(F324="","",IF(F324="misto","revisão manual",IF(OR(F324="pausa_curta",F324="mascara_abaixada",G324="costas"),"sem ocorrência","ocorrência")))</f>
        <v/>
      </c>
      <c r="O324" s="9" t="n"/>
      <c r="P324" s="10" t="n"/>
      <c r="Q324" s="11" t="n"/>
      <c r="R324" s="11" t="n"/>
      <c r="S324" s="11" t="n"/>
      <c r="T324" s="9" t="n"/>
      <c r="U324" s="9" t="n"/>
      <c r="V324" s="8">
        <f>IF(OR(N324="",N324="revisão manual",U324=""),"",IF(OR(AND(U324&gt;0,N324="ocorrência"),AND(U324=0,N324="sem ocorrência")),"OK","FALHA"))</f>
        <v/>
      </c>
      <c r="W324" s="9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8">
        <f>IF(F325="","",IF(F325="misto","revisão manual",IF(OR(F325="pausa_curta",F325="mascara_abaixada",G325="costas"),"sem ocorrência","ocorrência")))</f>
        <v/>
      </c>
      <c r="O325" s="9" t="n"/>
      <c r="P325" s="10" t="n"/>
      <c r="Q325" s="11" t="n"/>
      <c r="R325" s="11" t="n"/>
      <c r="S325" s="11" t="n"/>
      <c r="T325" s="9" t="n"/>
      <c r="U325" s="9" t="n"/>
      <c r="V325" s="8">
        <f>IF(OR(N325="",N325="revisão manual",U325=""),"",IF(OR(AND(U325&gt;0,N325="ocorrência"),AND(U325=0,N325="sem ocorrência")),"OK","FALHA"))</f>
        <v/>
      </c>
      <c r="W325" s="9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8">
        <f>IF(F326="","",IF(F326="misto","revisão manual",IF(OR(F326="pausa_curta",F326="mascara_abaixada",G326="costas"),"sem ocorrência","ocorrência")))</f>
        <v/>
      </c>
      <c r="O326" s="9" t="n"/>
      <c r="P326" s="10" t="n"/>
      <c r="Q326" s="11" t="n"/>
      <c r="R326" s="11" t="n"/>
      <c r="S326" s="11" t="n"/>
      <c r="T326" s="9" t="n"/>
      <c r="U326" s="9" t="n"/>
      <c r="V326" s="8">
        <f>IF(OR(N326="",N326="revisão manual",U326=""),"",IF(OR(AND(U326&gt;0,N326="ocorrência"),AND(U326=0,N326="sem ocorrência")),"OK","FALHA"))</f>
        <v/>
      </c>
      <c r="W326" s="9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8">
        <f>IF(F327="","",IF(F327="misto","revisão manual",IF(OR(F327="pausa_curta",F327="mascara_abaixada",G327="costas"),"sem ocorrência","ocorrência")))</f>
        <v/>
      </c>
      <c r="O327" s="9" t="n"/>
      <c r="P327" s="10" t="n"/>
      <c r="Q327" s="11" t="n"/>
      <c r="R327" s="11" t="n"/>
      <c r="S327" s="11" t="n"/>
      <c r="T327" s="9" t="n"/>
      <c r="U327" s="9" t="n"/>
      <c r="V327" s="8">
        <f>IF(OR(N327="",N327="revisão manual",U327=""),"",IF(OR(AND(U327&gt;0,N327="ocorrência"),AND(U327=0,N327="sem ocorrência")),"OK","FALHA"))</f>
        <v/>
      </c>
      <c r="W327" s="9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8">
        <f>IF(F328="","",IF(F328="misto","revisão manual",IF(OR(F328="pausa_curta",F328="mascara_abaixada",G328="costas"),"sem ocorrência","ocorrência")))</f>
        <v/>
      </c>
      <c r="O328" s="9" t="n"/>
      <c r="P328" s="10" t="n"/>
      <c r="Q328" s="11" t="n"/>
      <c r="R328" s="11" t="n"/>
      <c r="S328" s="11" t="n"/>
      <c r="T328" s="9" t="n"/>
      <c r="U328" s="9" t="n"/>
      <c r="V328" s="8">
        <f>IF(OR(N328="",N328="revisão manual",U328=""),"",IF(OR(AND(U328&gt;0,N328="ocorrência"),AND(U328=0,N328="sem ocorrência")),"OK","FALHA"))</f>
        <v/>
      </c>
      <c r="W328" s="9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8">
        <f>IF(F329="","",IF(F329="misto","revisão manual",IF(OR(F329="pausa_curta",F329="mascara_abaixada",G329="costas"),"sem ocorrência","ocorrência")))</f>
        <v/>
      </c>
      <c r="O329" s="9" t="n"/>
      <c r="P329" s="10" t="n"/>
      <c r="Q329" s="11" t="n"/>
      <c r="R329" s="11" t="n"/>
      <c r="S329" s="11" t="n"/>
      <c r="T329" s="9" t="n"/>
      <c r="U329" s="9" t="n"/>
      <c r="V329" s="8">
        <f>IF(OR(N329="",N329="revisão manual",U329=""),"",IF(OR(AND(U329&gt;0,N329="ocorrência"),AND(U329=0,N329="sem ocorrência")),"OK","FALHA"))</f>
        <v/>
      </c>
      <c r="W329" s="9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8">
        <f>IF(F330="","",IF(F330="misto","revisão manual",IF(OR(F330="pausa_curta",F330="mascara_abaixada",G330="costas"),"sem ocorrência","ocorrência")))</f>
        <v/>
      </c>
      <c r="O330" s="9" t="n"/>
      <c r="P330" s="10" t="n"/>
      <c r="Q330" s="11" t="n"/>
      <c r="R330" s="11" t="n"/>
      <c r="S330" s="11" t="n"/>
      <c r="T330" s="9" t="n"/>
      <c r="U330" s="9" t="n"/>
      <c r="V330" s="8">
        <f>IF(OR(N330="",N330="revisão manual",U330=""),"",IF(OR(AND(U330&gt;0,N330="ocorrência"),AND(U330=0,N330="sem ocorrência")),"OK","FALHA"))</f>
        <v/>
      </c>
      <c r="W330" s="9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8">
        <f>IF(F331="","",IF(F331="misto","revisão manual",IF(OR(F331="pausa_curta",F331="mascara_abaixada",G331="costas"),"sem ocorrência","ocorrência")))</f>
        <v/>
      </c>
      <c r="O331" s="9" t="n"/>
      <c r="P331" s="10" t="n"/>
      <c r="Q331" s="11" t="n"/>
      <c r="R331" s="11" t="n"/>
      <c r="S331" s="11" t="n"/>
      <c r="T331" s="9" t="n"/>
      <c r="U331" s="9" t="n"/>
      <c r="V331" s="8">
        <f>IF(OR(N331="",N331="revisão manual",U331=""),"",IF(OR(AND(U331&gt;0,N331="ocorrência"),AND(U331=0,N331="sem ocorrência")),"OK","FALHA"))</f>
        <v/>
      </c>
      <c r="W331" s="9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8">
        <f>IF(F332="","",IF(F332="misto","revisão manual",IF(OR(F332="pausa_curta",F332="mascara_abaixada",G332="costas"),"sem ocorrência","ocorrência")))</f>
        <v/>
      </c>
      <c r="O332" s="9" t="n"/>
      <c r="P332" s="10" t="n"/>
      <c r="Q332" s="11" t="n"/>
      <c r="R332" s="11" t="n"/>
      <c r="S332" s="11" t="n"/>
      <c r="T332" s="9" t="n"/>
      <c r="U332" s="9" t="n"/>
      <c r="V332" s="8">
        <f>IF(OR(N332="",N332="revisão manual",U332=""),"",IF(OR(AND(U332&gt;0,N332="ocorrência"),AND(U332=0,N332="sem ocorrência")),"OK","FALHA"))</f>
        <v/>
      </c>
      <c r="W332" s="9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8">
        <f>IF(F333="","",IF(F333="misto","revisão manual",IF(OR(F333="pausa_curta",F333="mascara_abaixada",G333="costas"),"sem ocorrência","ocorrência")))</f>
        <v/>
      </c>
      <c r="O333" s="9" t="n"/>
      <c r="P333" s="10" t="n"/>
      <c r="Q333" s="11" t="n"/>
      <c r="R333" s="11" t="n"/>
      <c r="S333" s="11" t="n"/>
      <c r="T333" s="9" t="n"/>
      <c r="U333" s="9" t="n"/>
      <c r="V333" s="8">
        <f>IF(OR(N333="",N333="revisão manual",U333=""),"",IF(OR(AND(U333&gt;0,N333="ocorrência"),AND(U333=0,N333="sem ocorrência")),"OK","FALHA"))</f>
        <v/>
      </c>
      <c r="W333" s="9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8">
        <f>IF(F334="","",IF(F334="misto","revisão manual",IF(OR(F334="pausa_curta",F334="mascara_abaixada",G334="costas"),"sem ocorrência","ocorrência")))</f>
        <v/>
      </c>
      <c r="O334" s="9" t="n"/>
      <c r="P334" s="10" t="n"/>
      <c r="Q334" s="11" t="n"/>
      <c r="R334" s="11" t="n"/>
      <c r="S334" s="11" t="n"/>
      <c r="T334" s="9" t="n"/>
      <c r="U334" s="9" t="n"/>
      <c r="V334" s="8">
        <f>IF(OR(N334="",N334="revisão manual",U334=""),"",IF(OR(AND(U334&gt;0,N334="ocorrência"),AND(U334=0,N334="sem ocorrência")),"OK","FALHA"))</f>
        <v/>
      </c>
      <c r="W334" s="9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8">
        <f>IF(F335="","",IF(F335="misto","revisão manual",IF(OR(F335="pausa_curta",F335="mascara_abaixada",G335="costas"),"sem ocorrência","ocorrência")))</f>
        <v/>
      </c>
      <c r="O335" s="9" t="n"/>
      <c r="P335" s="10" t="n"/>
      <c r="Q335" s="11" t="n"/>
      <c r="R335" s="11" t="n"/>
      <c r="S335" s="11" t="n"/>
      <c r="T335" s="9" t="n"/>
      <c r="U335" s="9" t="n"/>
      <c r="V335" s="8">
        <f>IF(OR(N335="",N335="revisão manual",U335=""),"",IF(OR(AND(U335&gt;0,N335="ocorrência"),AND(U335=0,N335="sem ocorrência")),"OK","FALHA"))</f>
        <v/>
      </c>
      <c r="W335" s="9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8">
        <f>IF(F336="","",IF(F336="misto","revisão manual",IF(OR(F336="pausa_curta",F336="mascara_abaixada",G336="costas"),"sem ocorrência","ocorrência")))</f>
        <v/>
      </c>
      <c r="O336" s="9" t="n"/>
      <c r="P336" s="10" t="n"/>
      <c r="Q336" s="11" t="n"/>
      <c r="R336" s="11" t="n"/>
      <c r="S336" s="11" t="n"/>
      <c r="T336" s="9" t="n"/>
      <c r="U336" s="9" t="n"/>
      <c r="V336" s="8">
        <f>IF(OR(N336="",N336="revisão manual",U336=""),"",IF(OR(AND(U336&gt;0,N336="ocorrência"),AND(U336=0,N336="sem ocorrência")),"OK","FALHA"))</f>
        <v/>
      </c>
      <c r="W336" s="9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8">
        <f>IF(F337="","",IF(F337="misto","revisão manual",IF(OR(F337="pausa_curta",F337="mascara_abaixada",G337="costas"),"sem ocorrência","ocorrência")))</f>
        <v/>
      </c>
      <c r="O337" s="9" t="n"/>
      <c r="P337" s="10" t="n"/>
      <c r="Q337" s="11" t="n"/>
      <c r="R337" s="11" t="n"/>
      <c r="S337" s="11" t="n"/>
      <c r="T337" s="9" t="n"/>
      <c r="U337" s="9" t="n"/>
      <c r="V337" s="8">
        <f>IF(OR(N337="",N337="revisão manual",U337=""),"",IF(OR(AND(U337&gt;0,N337="ocorrência"),AND(U337=0,N337="sem ocorrência")),"OK","FALHA"))</f>
        <v/>
      </c>
      <c r="W337" s="9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8">
        <f>IF(F338="","",IF(F338="misto","revisão manual",IF(OR(F338="pausa_curta",F338="mascara_abaixada",G338="costas"),"sem ocorrência","ocorrência")))</f>
        <v/>
      </c>
      <c r="O338" s="9" t="n"/>
      <c r="P338" s="10" t="n"/>
      <c r="Q338" s="11" t="n"/>
      <c r="R338" s="11" t="n"/>
      <c r="S338" s="11" t="n"/>
      <c r="T338" s="9" t="n"/>
      <c r="U338" s="9" t="n"/>
      <c r="V338" s="8">
        <f>IF(OR(N338="",N338="revisão manual",U338=""),"",IF(OR(AND(U338&gt;0,N338="ocorrência"),AND(U338=0,N338="sem ocorrência")),"OK","FALHA"))</f>
        <v/>
      </c>
      <c r="W338" s="9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8">
        <f>IF(F339="","",IF(F339="misto","revisão manual",IF(OR(F339="pausa_curta",F339="mascara_abaixada",G339="costas"),"sem ocorrência","ocorrência")))</f>
        <v/>
      </c>
      <c r="O339" s="9" t="n"/>
      <c r="P339" s="10" t="n"/>
      <c r="Q339" s="11" t="n"/>
      <c r="R339" s="11" t="n"/>
      <c r="S339" s="11" t="n"/>
      <c r="T339" s="9" t="n"/>
      <c r="U339" s="9" t="n"/>
      <c r="V339" s="8">
        <f>IF(OR(N339="",N339="revisão manual",U339=""),"",IF(OR(AND(U339&gt;0,N339="ocorrência"),AND(U339=0,N339="sem ocorrência")),"OK","FALHA"))</f>
        <v/>
      </c>
      <c r="W339" s="9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8">
        <f>IF(F340="","",IF(F340="misto","revisão manual",IF(OR(F340="pausa_curta",F340="mascara_abaixada",G340="costas"),"sem ocorrência","ocorrência")))</f>
        <v/>
      </c>
      <c r="O340" s="9" t="n"/>
      <c r="P340" s="10" t="n"/>
      <c r="Q340" s="11" t="n"/>
      <c r="R340" s="11" t="n"/>
      <c r="S340" s="11" t="n"/>
      <c r="T340" s="9" t="n"/>
      <c r="U340" s="9" t="n"/>
      <c r="V340" s="8">
        <f>IF(OR(N340="",N340="revisão manual",U340=""),"",IF(OR(AND(U340&gt;0,N340="ocorrência"),AND(U340=0,N340="sem ocorrência")),"OK","FALHA"))</f>
        <v/>
      </c>
      <c r="W340" s="9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8">
        <f>IF(F341="","",IF(F341="misto","revisão manual",IF(OR(F341="pausa_curta",F341="mascara_abaixada",G341="costas"),"sem ocorrência","ocorrência")))</f>
        <v/>
      </c>
      <c r="O341" s="9" t="n"/>
      <c r="P341" s="10" t="n"/>
      <c r="Q341" s="11" t="n"/>
      <c r="R341" s="11" t="n"/>
      <c r="S341" s="11" t="n"/>
      <c r="T341" s="9" t="n"/>
      <c r="U341" s="9" t="n"/>
      <c r="V341" s="8">
        <f>IF(OR(N341="",N341="revisão manual",U341=""),"",IF(OR(AND(U341&gt;0,N341="ocorrência"),AND(U341=0,N341="sem ocorrência")),"OK","FALHA"))</f>
        <v/>
      </c>
      <c r="W341" s="9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8">
        <f>IF(F342="","",IF(F342="misto","revisão manual",IF(OR(F342="pausa_curta",F342="mascara_abaixada",G342="costas"),"sem ocorrência","ocorrência")))</f>
        <v/>
      </c>
      <c r="O342" s="9" t="n"/>
      <c r="P342" s="10" t="n"/>
      <c r="Q342" s="11" t="n"/>
      <c r="R342" s="11" t="n"/>
      <c r="S342" s="11" t="n"/>
      <c r="T342" s="9" t="n"/>
      <c r="U342" s="9" t="n"/>
      <c r="V342" s="8">
        <f>IF(OR(N342="",N342="revisão manual",U342=""),"",IF(OR(AND(U342&gt;0,N342="ocorrência"),AND(U342=0,N342="sem ocorrência")),"OK","FALHA"))</f>
        <v/>
      </c>
      <c r="W342" s="9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8">
        <f>IF(F343="","",IF(F343="misto","revisão manual",IF(OR(F343="pausa_curta",F343="mascara_abaixada",G343="costas"),"sem ocorrência","ocorrência")))</f>
        <v/>
      </c>
      <c r="O343" s="9" t="n"/>
      <c r="P343" s="10" t="n"/>
      <c r="Q343" s="11" t="n"/>
      <c r="R343" s="11" t="n"/>
      <c r="S343" s="11" t="n"/>
      <c r="T343" s="9" t="n"/>
      <c r="U343" s="9" t="n"/>
      <c r="V343" s="8">
        <f>IF(OR(N343="",N343="revisão manual",U343=""),"",IF(OR(AND(U343&gt;0,N343="ocorrência"),AND(U343=0,N343="sem ocorrência")),"OK","FALHA"))</f>
        <v/>
      </c>
      <c r="W343" s="9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8">
        <f>IF(F344="","",IF(F344="misto","revisão manual",IF(OR(F344="pausa_curta",F344="mascara_abaixada",G344="costas"),"sem ocorrência","ocorrência")))</f>
        <v/>
      </c>
      <c r="O344" s="9" t="n"/>
      <c r="P344" s="10" t="n"/>
      <c r="Q344" s="11" t="n"/>
      <c r="R344" s="11" t="n"/>
      <c r="S344" s="11" t="n"/>
      <c r="T344" s="9" t="n"/>
      <c r="U344" s="9" t="n"/>
      <c r="V344" s="8">
        <f>IF(OR(N344="",N344="revisão manual",U344=""),"",IF(OR(AND(U344&gt;0,N344="ocorrência"),AND(U344=0,N344="sem ocorrência")),"OK","FALHA"))</f>
        <v/>
      </c>
      <c r="W344" s="9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8">
        <f>IF(F345="","",IF(F345="misto","revisão manual",IF(OR(F345="pausa_curta",F345="mascara_abaixada",G345="costas"),"sem ocorrência","ocorrência")))</f>
        <v/>
      </c>
      <c r="O345" s="9" t="n"/>
      <c r="P345" s="10" t="n"/>
      <c r="Q345" s="11" t="n"/>
      <c r="R345" s="11" t="n"/>
      <c r="S345" s="11" t="n"/>
      <c r="T345" s="9" t="n"/>
      <c r="U345" s="9" t="n"/>
      <c r="V345" s="8">
        <f>IF(OR(N345="",N345="revisão manual",U345=""),"",IF(OR(AND(U345&gt;0,N345="ocorrência"),AND(U345=0,N345="sem ocorrência")),"OK","FALHA"))</f>
        <v/>
      </c>
      <c r="W345" s="9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8">
        <f>IF(F346="","",IF(F346="misto","revisão manual",IF(OR(F346="pausa_curta",F346="mascara_abaixada",G346="costas"),"sem ocorrência","ocorrência")))</f>
        <v/>
      </c>
      <c r="O346" s="9" t="n"/>
      <c r="P346" s="10" t="n"/>
      <c r="Q346" s="11" t="n"/>
      <c r="R346" s="11" t="n"/>
      <c r="S346" s="11" t="n"/>
      <c r="T346" s="9" t="n"/>
      <c r="U346" s="9" t="n"/>
      <c r="V346" s="8">
        <f>IF(OR(N346="",N346="revisão manual",U346=""),"",IF(OR(AND(U346&gt;0,N346="ocorrência"),AND(U346=0,N346="sem ocorrência")),"OK","FALHA"))</f>
        <v/>
      </c>
      <c r="W346" s="9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8">
        <f>IF(F347="","",IF(F347="misto","revisão manual",IF(OR(F347="pausa_curta",F347="mascara_abaixada",G347="costas"),"sem ocorrência","ocorrência")))</f>
        <v/>
      </c>
      <c r="O347" s="9" t="n"/>
      <c r="P347" s="10" t="n"/>
      <c r="Q347" s="11" t="n"/>
      <c r="R347" s="11" t="n"/>
      <c r="S347" s="11" t="n"/>
      <c r="T347" s="9" t="n"/>
      <c r="U347" s="9" t="n"/>
      <c r="V347" s="8">
        <f>IF(OR(N347="",N347="revisão manual",U347=""),"",IF(OR(AND(U347&gt;0,N347="ocorrência"),AND(U347=0,N347="sem ocorrência")),"OK","FALHA"))</f>
        <v/>
      </c>
      <c r="W347" s="9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8">
        <f>IF(F348="","",IF(F348="misto","revisão manual",IF(OR(F348="pausa_curta",F348="mascara_abaixada",G348="costas"),"sem ocorrência","ocorrência")))</f>
        <v/>
      </c>
      <c r="O348" s="9" t="n"/>
      <c r="P348" s="10" t="n"/>
      <c r="Q348" s="11" t="n"/>
      <c r="R348" s="11" t="n"/>
      <c r="S348" s="11" t="n"/>
      <c r="T348" s="9" t="n"/>
      <c r="U348" s="9" t="n"/>
      <c r="V348" s="8">
        <f>IF(OR(N348="",N348="revisão manual",U348=""),"",IF(OR(AND(U348&gt;0,N348="ocorrência"),AND(U348=0,N348="sem ocorrência")),"OK","FALHA"))</f>
        <v/>
      </c>
      <c r="W348" s="9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8">
        <f>IF(F349="","",IF(F349="misto","revisão manual",IF(OR(F349="pausa_curta",F349="mascara_abaixada",G349="costas"),"sem ocorrência","ocorrência")))</f>
        <v/>
      </c>
      <c r="O349" s="9" t="n"/>
      <c r="P349" s="10" t="n"/>
      <c r="Q349" s="11" t="n"/>
      <c r="R349" s="11" t="n"/>
      <c r="S349" s="11" t="n"/>
      <c r="T349" s="9" t="n"/>
      <c r="U349" s="9" t="n"/>
      <c r="V349" s="8">
        <f>IF(OR(N349="",N349="revisão manual",U349=""),"",IF(OR(AND(U349&gt;0,N349="ocorrência"),AND(U349=0,N349="sem ocorrência")),"OK","FALHA"))</f>
        <v/>
      </c>
      <c r="W349" s="9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8">
        <f>IF(F350="","",IF(F350="misto","revisão manual",IF(OR(F350="pausa_curta",F350="mascara_abaixada",G350="costas"),"sem ocorrência","ocorrência")))</f>
        <v/>
      </c>
      <c r="O350" s="9" t="n"/>
      <c r="P350" s="10" t="n"/>
      <c r="Q350" s="11" t="n"/>
      <c r="R350" s="11" t="n"/>
      <c r="S350" s="11" t="n"/>
      <c r="T350" s="9" t="n"/>
      <c r="U350" s="9" t="n"/>
      <c r="V350" s="8">
        <f>IF(OR(N350="",N350="revisão manual",U350=""),"",IF(OR(AND(U350&gt;0,N350="ocorrência"),AND(U350=0,N350="sem ocorrência")),"OK","FALHA"))</f>
        <v/>
      </c>
      <c r="W350" s="9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8">
        <f>IF(F351="","",IF(F351="misto","revisão manual",IF(OR(F351="pausa_curta",F351="mascara_abaixada",G351="costas"),"sem ocorrência","ocorrência")))</f>
        <v/>
      </c>
      <c r="O351" s="9" t="n"/>
      <c r="P351" s="10" t="n"/>
      <c r="Q351" s="11" t="n"/>
      <c r="R351" s="11" t="n"/>
      <c r="S351" s="11" t="n"/>
      <c r="T351" s="9" t="n"/>
      <c r="U351" s="9" t="n"/>
      <c r="V351" s="8">
        <f>IF(OR(N351="",N351="revisão manual",U351=""),"",IF(OR(AND(U351&gt;0,N351="ocorrência"),AND(U351=0,N351="sem ocorrência")),"OK","FALHA"))</f>
        <v/>
      </c>
      <c r="W351" s="9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8">
        <f>IF(F352="","",IF(F352="misto","revisão manual",IF(OR(F352="pausa_curta",F352="mascara_abaixada",G352="costas"),"sem ocorrência","ocorrência")))</f>
        <v/>
      </c>
      <c r="O352" s="9" t="n"/>
      <c r="P352" s="10" t="n"/>
      <c r="Q352" s="11" t="n"/>
      <c r="R352" s="11" t="n"/>
      <c r="S352" s="11" t="n"/>
      <c r="T352" s="9" t="n"/>
      <c r="U352" s="9" t="n"/>
      <c r="V352" s="8">
        <f>IF(OR(N352="",N352="revisão manual",U352=""),"",IF(OR(AND(U352&gt;0,N352="ocorrência"),AND(U352=0,N352="sem ocorrência")),"OK","FALHA"))</f>
        <v/>
      </c>
      <c r="W352" s="9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8">
        <f>IF(F353="","",IF(F353="misto","revisão manual",IF(OR(F353="pausa_curta",F353="mascara_abaixada",G353="costas"),"sem ocorrência","ocorrência")))</f>
        <v/>
      </c>
      <c r="O353" s="9" t="n"/>
      <c r="P353" s="10" t="n"/>
      <c r="Q353" s="11" t="n"/>
      <c r="R353" s="11" t="n"/>
      <c r="S353" s="11" t="n"/>
      <c r="T353" s="9" t="n"/>
      <c r="U353" s="9" t="n"/>
      <c r="V353" s="8">
        <f>IF(OR(N353="",N353="revisão manual",U353=""),"",IF(OR(AND(U353&gt;0,N353="ocorrência"),AND(U353=0,N353="sem ocorrência")),"OK","FALHA"))</f>
        <v/>
      </c>
      <c r="W353" s="9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8">
        <f>IF(F354="","",IF(F354="misto","revisão manual",IF(OR(F354="pausa_curta",F354="mascara_abaixada",G354="costas"),"sem ocorrência","ocorrência")))</f>
        <v/>
      </c>
      <c r="O354" s="9" t="n"/>
      <c r="P354" s="10" t="n"/>
      <c r="Q354" s="11" t="n"/>
      <c r="R354" s="11" t="n"/>
      <c r="S354" s="11" t="n"/>
      <c r="T354" s="9" t="n"/>
      <c r="U354" s="9" t="n"/>
      <c r="V354" s="8">
        <f>IF(OR(N354="",N354="revisão manual",U354=""),"",IF(OR(AND(U354&gt;0,N354="ocorrência"),AND(U354=0,N354="sem ocorrência")),"OK","FALHA"))</f>
        <v/>
      </c>
      <c r="W354" s="9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8">
        <f>IF(F355="","",IF(F355="misto","revisão manual",IF(OR(F355="pausa_curta",F355="mascara_abaixada",G355="costas"),"sem ocorrência","ocorrência")))</f>
        <v/>
      </c>
      <c r="O355" s="9" t="n"/>
      <c r="P355" s="10" t="n"/>
      <c r="Q355" s="11" t="n"/>
      <c r="R355" s="11" t="n"/>
      <c r="S355" s="11" t="n"/>
      <c r="T355" s="9" t="n"/>
      <c r="U355" s="9" t="n"/>
      <c r="V355" s="8">
        <f>IF(OR(N355="",N355="revisão manual",U355=""),"",IF(OR(AND(U355&gt;0,N355="ocorrência"),AND(U355=0,N355="sem ocorrência")),"OK","FALHA"))</f>
        <v/>
      </c>
      <c r="W355" s="9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8">
        <f>IF(F356="","",IF(F356="misto","revisão manual",IF(OR(F356="pausa_curta",F356="mascara_abaixada",G356="costas"),"sem ocorrência","ocorrência")))</f>
        <v/>
      </c>
      <c r="O356" s="9" t="n"/>
      <c r="P356" s="10" t="n"/>
      <c r="Q356" s="11" t="n"/>
      <c r="R356" s="11" t="n"/>
      <c r="S356" s="11" t="n"/>
      <c r="T356" s="9" t="n"/>
      <c r="U356" s="9" t="n"/>
      <c r="V356" s="8">
        <f>IF(OR(N356="",N356="revisão manual",U356=""),"",IF(OR(AND(U356&gt;0,N356="ocorrência"),AND(U356=0,N356="sem ocorrência")),"OK","FALHA"))</f>
        <v/>
      </c>
      <c r="W356" s="9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8">
        <f>IF(F357="","",IF(F357="misto","revisão manual",IF(OR(F357="pausa_curta",F357="mascara_abaixada",G357="costas"),"sem ocorrência","ocorrência")))</f>
        <v/>
      </c>
      <c r="O357" s="9" t="n"/>
      <c r="P357" s="10" t="n"/>
      <c r="Q357" s="11" t="n"/>
      <c r="R357" s="11" t="n"/>
      <c r="S357" s="11" t="n"/>
      <c r="T357" s="9" t="n"/>
      <c r="U357" s="9" t="n"/>
      <c r="V357" s="8">
        <f>IF(OR(N357="",N357="revisão manual",U357=""),"",IF(OR(AND(U357&gt;0,N357="ocorrência"),AND(U357=0,N357="sem ocorrência")),"OK","FALHA"))</f>
        <v/>
      </c>
      <c r="W357" s="9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8">
        <f>IF(F358="","",IF(F358="misto","revisão manual",IF(OR(F358="pausa_curta",F358="mascara_abaixada",G358="costas"),"sem ocorrência","ocorrência")))</f>
        <v/>
      </c>
      <c r="O358" s="9" t="n"/>
      <c r="P358" s="10" t="n"/>
      <c r="Q358" s="11" t="n"/>
      <c r="R358" s="11" t="n"/>
      <c r="S358" s="11" t="n"/>
      <c r="T358" s="9" t="n"/>
      <c r="U358" s="9" t="n"/>
      <c r="V358" s="8">
        <f>IF(OR(N358="",N358="revisão manual",U358=""),"",IF(OR(AND(U358&gt;0,N358="ocorrência"),AND(U358=0,N358="sem ocorrência")),"OK","FALHA"))</f>
        <v/>
      </c>
      <c r="W358" s="9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8">
        <f>IF(F359="","",IF(F359="misto","revisão manual",IF(OR(F359="pausa_curta",F359="mascara_abaixada",G359="costas"),"sem ocorrência","ocorrência")))</f>
        <v/>
      </c>
      <c r="O359" s="9" t="n"/>
      <c r="P359" s="10" t="n"/>
      <c r="Q359" s="11" t="n"/>
      <c r="R359" s="11" t="n"/>
      <c r="S359" s="11" t="n"/>
      <c r="T359" s="9" t="n"/>
      <c r="U359" s="9" t="n"/>
      <c r="V359" s="8">
        <f>IF(OR(N359="",N359="revisão manual",U359=""),"",IF(OR(AND(U359&gt;0,N359="ocorrência"),AND(U359=0,N359="sem ocorrência")),"OK","FALHA"))</f>
        <v/>
      </c>
      <c r="W359" s="9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8">
        <f>IF(F360="","",IF(F360="misto","revisão manual",IF(OR(F360="pausa_curta",F360="mascara_abaixada",G360="costas"),"sem ocorrência","ocorrência")))</f>
        <v/>
      </c>
      <c r="O360" s="9" t="n"/>
      <c r="P360" s="10" t="n"/>
      <c r="Q360" s="11" t="n"/>
      <c r="R360" s="11" t="n"/>
      <c r="S360" s="11" t="n"/>
      <c r="T360" s="9" t="n"/>
      <c r="U360" s="9" t="n"/>
      <c r="V360" s="8">
        <f>IF(OR(N360="",N360="revisão manual",U360=""),"",IF(OR(AND(U360&gt;0,N360="ocorrência"),AND(U360=0,N360="sem ocorrência")),"OK","FALHA"))</f>
        <v/>
      </c>
      <c r="W360" s="9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8">
        <f>IF(F361="","",IF(F361="misto","revisão manual",IF(OR(F361="pausa_curta",F361="mascara_abaixada",G361="costas"),"sem ocorrência","ocorrência")))</f>
        <v/>
      </c>
      <c r="O361" s="9" t="n"/>
      <c r="P361" s="10" t="n"/>
      <c r="Q361" s="11" t="n"/>
      <c r="R361" s="11" t="n"/>
      <c r="S361" s="11" t="n"/>
      <c r="T361" s="9" t="n"/>
      <c r="U361" s="9" t="n"/>
      <c r="V361" s="8">
        <f>IF(OR(N361="",N361="revisão manual",U361=""),"",IF(OR(AND(U361&gt;0,N361="ocorrência"),AND(U361=0,N361="sem ocorrência")),"OK","FALHA"))</f>
        <v/>
      </c>
      <c r="W361" s="9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8">
        <f>IF(F362="","",IF(F362="misto","revisão manual",IF(OR(F362="pausa_curta",F362="mascara_abaixada",G362="costas"),"sem ocorrência","ocorrência")))</f>
        <v/>
      </c>
      <c r="O362" s="9" t="n"/>
      <c r="P362" s="10" t="n"/>
      <c r="Q362" s="11" t="n"/>
      <c r="R362" s="11" t="n"/>
      <c r="S362" s="11" t="n"/>
      <c r="T362" s="9" t="n"/>
      <c r="U362" s="9" t="n"/>
      <c r="V362" s="8">
        <f>IF(OR(N362="",N362="revisão manual",U362=""),"",IF(OR(AND(U362&gt;0,N362="ocorrência"),AND(U362=0,N362="sem ocorrência")),"OK","FALHA"))</f>
        <v/>
      </c>
      <c r="W362" s="9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8">
        <f>IF(F363="","",IF(F363="misto","revisão manual",IF(OR(F363="pausa_curta",F363="mascara_abaixada",G363="costas"),"sem ocorrência","ocorrência")))</f>
        <v/>
      </c>
      <c r="O363" s="9" t="n"/>
      <c r="P363" s="10" t="n"/>
      <c r="Q363" s="11" t="n"/>
      <c r="R363" s="11" t="n"/>
      <c r="S363" s="11" t="n"/>
      <c r="T363" s="9" t="n"/>
      <c r="U363" s="9" t="n"/>
      <c r="V363" s="8">
        <f>IF(OR(N363="",N363="revisão manual",U363=""),"",IF(OR(AND(U363&gt;0,N363="ocorrência"),AND(U363=0,N363="sem ocorrência")),"OK","FALHA"))</f>
        <v/>
      </c>
      <c r="W363" s="9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8">
        <f>IF(F364="","",IF(F364="misto","revisão manual",IF(OR(F364="pausa_curta",F364="mascara_abaixada",G364="costas"),"sem ocorrência","ocorrência")))</f>
        <v/>
      </c>
      <c r="O364" s="9" t="n"/>
      <c r="P364" s="10" t="n"/>
      <c r="Q364" s="11" t="n"/>
      <c r="R364" s="11" t="n"/>
      <c r="S364" s="11" t="n"/>
      <c r="T364" s="9" t="n"/>
      <c r="U364" s="9" t="n"/>
      <c r="V364" s="8">
        <f>IF(OR(N364="",N364="revisão manual",U364=""),"",IF(OR(AND(U364&gt;0,N364="ocorrência"),AND(U364=0,N364="sem ocorrência")),"OK","FALHA"))</f>
        <v/>
      </c>
      <c r="W364" s="9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8">
        <f>IF(F365="","",IF(F365="misto","revisão manual",IF(OR(F365="pausa_curta",F365="mascara_abaixada",G365="costas"),"sem ocorrência","ocorrência")))</f>
        <v/>
      </c>
      <c r="O365" s="9" t="n"/>
      <c r="P365" s="10" t="n"/>
      <c r="Q365" s="11" t="n"/>
      <c r="R365" s="11" t="n"/>
      <c r="S365" s="11" t="n"/>
      <c r="T365" s="9" t="n"/>
      <c r="U365" s="9" t="n"/>
      <c r="V365" s="8">
        <f>IF(OR(N365="",N365="revisão manual",U365=""),"",IF(OR(AND(U365&gt;0,N365="ocorrência"),AND(U365=0,N365="sem ocorrência")),"OK","FALHA"))</f>
        <v/>
      </c>
      <c r="W365" s="9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8">
        <f>IF(F366="","",IF(F366="misto","revisão manual",IF(OR(F366="pausa_curta",F366="mascara_abaixada",G366="costas"),"sem ocorrência","ocorrência")))</f>
        <v/>
      </c>
      <c r="O366" s="9" t="n"/>
      <c r="P366" s="10" t="n"/>
      <c r="Q366" s="11" t="n"/>
      <c r="R366" s="11" t="n"/>
      <c r="S366" s="11" t="n"/>
      <c r="T366" s="9" t="n"/>
      <c r="U366" s="9" t="n"/>
      <c r="V366" s="8">
        <f>IF(OR(N366="",N366="revisão manual",U366=""),"",IF(OR(AND(U366&gt;0,N366="ocorrência"),AND(U366=0,N366="sem ocorrência")),"OK","FALHA"))</f>
        <v/>
      </c>
      <c r="W366" s="9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8">
        <f>IF(F367="","",IF(F367="misto","revisão manual",IF(OR(F367="pausa_curta",F367="mascara_abaixada",G367="costas"),"sem ocorrência","ocorrência")))</f>
        <v/>
      </c>
      <c r="O367" s="9" t="n"/>
      <c r="P367" s="10" t="n"/>
      <c r="Q367" s="11" t="n"/>
      <c r="R367" s="11" t="n"/>
      <c r="S367" s="11" t="n"/>
      <c r="T367" s="9" t="n"/>
      <c r="U367" s="9" t="n"/>
      <c r="V367" s="8">
        <f>IF(OR(N367="",N367="revisão manual",U367=""),"",IF(OR(AND(U367&gt;0,N367="ocorrência"),AND(U367=0,N367="sem ocorrência")),"OK","FALHA"))</f>
        <v/>
      </c>
      <c r="W367" s="9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8">
        <f>IF(F368="","",IF(F368="misto","revisão manual",IF(OR(F368="pausa_curta",F368="mascara_abaixada",G368="costas"),"sem ocorrência","ocorrência")))</f>
        <v/>
      </c>
      <c r="O368" s="9" t="n"/>
      <c r="P368" s="10" t="n"/>
      <c r="Q368" s="11" t="n"/>
      <c r="R368" s="11" t="n"/>
      <c r="S368" s="11" t="n"/>
      <c r="T368" s="9" t="n"/>
      <c r="U368" s="9" t="n"/>
      <c r="V368" s="8">
        <f>IF(OR(N368="",N368="revisão manual",U368=""),"",IF(OR(AND(U368&gt;0,N368="ocorrência"),AND(U368=0,N368="sem ocorrência")),"OK","FALHA"))</f>
        <v/>
      </c>
      <c r="W368" s="9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8">
        <f>IF(F369="","",IF(F369="misto","revisão manual",IF(OR(F369="pausa_curta",F369="mascara_abaixada",G369="costas"),"sem ocorrência","ocorrência")))</f>
        <v/>
      </c>
      <c r="O369" s="9" t="n"/>
      <c r="P369" s="10" t="n"/>
      <c r="Q369" s="11" t="n"/>
      <c r="R369" s="11" t="n"/>
      <c r="S369" s="11" t="n"/>
      <c r="T369" s="9" t="n"/>
      <c r="U369" s="9" t="n"/>
      <c r="V369" s="8">
        <f>IF(OR(N369="",N369="revisão manual",U369=""),"",IF(OR(AND(U369&gt;0,N369="ocorrência"),AND(U369=0,N369="sem ocorrência")),"OK","FALHA"))</f>
        <v/>
      </c>
      <c r="W369" s="9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8">
        <f>IF(F370="","",IF(F370="misto","revisão manual",IF(OR(F370="pausa_curta",F370="mascara_abaixada",G370="costas"),"sem ocorrência","ocorrência")))</f>
        <v/>
      </c>
      <c r="O370" s="9" t="n"/>
      <c r="P370" s="10" t="n"/>
      <c r="Q370" s="11" t="n"/>
      <c r="R370" s="11" t="n"/>
      <c r="S370" s="11" t="n"/>
      <c r="T370" s="9" t="n"/>
      <c r="U370" s="9" t="n"/>
      <c r="V370" s="8">
        <f>IF(OR(N370="",N370="revisão manual",U370=""),"",IF(OR(AND(U370&gt;0,N370="ocorrência"),AND(U370=0,N370="sem ocorrência")),"OK","FALHA"))</f>
        <v/>
      </c>
      <c r="W370" s="9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8">
        <f>IF(F371="","",IF(F371="misto","revisão manual",IF(OR(F371="pausa_curta",F371="mascara_abaixada",G371="costas"),"sem ocorrência","ocorrência")))</f>
        <v/>
      </c>
      <c r="O371" s="9" t="n"/>
      <c r="P371" s="10" t="n"/>
      <c r="Q371" s="11" t="n"/>
      <c r="R371" s="11" t="n"/>
      <c r="S371" s="11" t="n"/>
      <c r="T371" s="9" t="n"/>
      <c r="U371" s="9" t="n"/>
      <c r="V371" s="8">
        <f>IF(OR(N371="",N371="revisão manual",U371=""),"",IF(OR(AND(U371&gt;0,N371="ocorrência"),AND(U371=0,N371="sem ocorrência")),"OK","FALHA"))</f>
        <v/>
      </c>
      <c r="W371" s="9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8">
        <f>IF(F372="","",IF(F372="misto","revisão manual",IF(OR(F372="pausa_curta",F372="mascara_abaixada",G372="costas"),"sem ocorrência","ocorrência")))</f>
        <v/>
      </c>
      <c r="O372" s="9" t="n"/>
      <c r="P372" s="10" t="n"/>
      <c r="Q372" s="11" t="n"/>
      <c r="R372" s="11" t="n"/>
      <c r="S372" s="11" t="n"/>
      <c r="T372" s="9" t="n"/>
      <c r="U372" s="9" t="n"/>
      <c r="V372" s="8">
        <f>IF(OR(N372="",N372="revisão manual",U372=""),"",IF(OR(AND(U372&gt;0,N372="ocorrência"),AND(U372=0,N372="sem ocorrência")),"OK","FALHA"))</f>
        <v/>
      </c>
      <c r="W372" s="9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8">
        <f>IF(F373="","",IF(F373="misto","revisão manual",IF(OR(F373="pausa_curta",F373="mascara_abaixada",G373="costas"),"sem ocorrência","ocorrência")))</f>
        <v/>
      </c>
      <c r="O373" s="9" t="n"/>
      <c r="P373" s="10" t="n"/>
      <c r="Q373" s="11" t="n"/>
      <c r="R373" s="11" t="n"/>
      <c r="S373" s="11" t="n"/>
      <c r="T373" s="9" t="n"/>
      <c r="U373" s="9" t="n"/>
      <c r="V373" s="8">
        <f>IF(OR(N373="",N373="revisão manual",U373=""),"",IF(OR(AND(U373&gt;0,N373="ocorrência"),AND(U373=0,N373="sem ocorrência")),"OK","FALHA"))</f>
        <v/>
      </c>
      <c r="W373" s="9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8">
        <f>IF(F374="","",IF(F374="misto","revisão manual",IF(OR(F374="pausa_curta",F374="mascara_abaixada",G374="costas"),"sem ocorrência","ocorrência")))</f>
        <v/>
      </c>
      <c r="O374" s="9" t="n"/>
      <c r="P374" s="10" t="n"/>
      <c r="Q374" s="11" t="n"/>
      <c r="R374" s="11" t="n"/>
      <c r="S374" s="11" t="n"/>
      <c r="T374" s="9" t="n"/>
      <c r="U374" s="9" t="n"/>
      <c r="V374" s="8">
        <f>IF(OR(N374="",N374="revisão manual",U374=""),"",IF(OR(AND(U374&gt;0,N374="ocorrência"),AND(U374=0,N374="sem ocorrência")),"OK","FALHA"))</f>
        <v/>
      </c>
      <c r="W374" s="9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8">
        <f>IF(F375="","",IF(F375="misto","revisão manual",IF(OR(F375="pausa_curta",F375="mascara_abaixada",G375="costas"),"sem ocorrência","ocorrência")))</f>
        <v/>
      </c>
      <c r="O375" s="9" t="n"/>
      <c r="P375" s="10" t="n"/>
      <c r="Q375" s="11" t="n"/>
      <c r="R375" s="11" t="n"/>
      <c r="S375" s="11" t="n"/>
      <c r="T375" s="9" t="n"/>
      <c r="U375" s="9" t="n"/>
      <c r="V375" s="8">
        <f>IF(OR(N375="",N375="revisão manual",U375=""),"",IF(OR(AND(U375&gt;0,N375="ocorrência"),AND(U375=0,N375="sem ocorrência")),"OK","FALHA"))</f>
        <v/>
      </c>
      <c r="W375" s="9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8">
        <f>IF(F376="","",IF(F376="misto","revisão manual",IF(OR(F376="pausa_curta",F376="mascara_abaixada",G376="costas"),"sem ocorrência","ocorrência")))</f>
        <v/>
      </c>
      <c r="O376" s="9" t="n"/>
      <c r="P376" s="10" t="n"/>
      <c r="Q376" s="11" t="n"/>
      <c r="R376" s="11" t="n"/>
      <c r="S376" s="11" t="n"/>
      <c r="T376" s="9" t="n"/>
      <c r="U376" s="9" t="n"/>
      <c r="V376" s="8">
        <f>IF(OR(N376="",N376="revisão manual",U376=""),"",IF(OR(AND(U376&gt;0,N376="ocorrência"),AND(U376=0,N376="sem ocorrência")),"OK","FALHA"))</f>
        <v/>
      </c>
      <c r="W376" s="9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8">
        <f>IF(F377="","",IF(F377="misto","revisão manual",IF(OR(F377="pausa_curta",F377="mascara_abaixada",G377="costas"),"sem ocorrência","ocorrência")))</f>
        <v/>
      </c>
      <c r="O377" s="9" t="n"/>
      <c r="P377" s="10" t="n"/>
      <c r="Q377" s="11" t="n"/>
      <c r="R377" s="11" t="n"/>
      <c r="S377" s="11" t="n"/>
      <c r="T377" s="9" t="n"/>
      <c r="U377" s="9" t="n"/>
      <c r="V377" s="8">
        <f>IF(OR(N377="",N377="revisão manual",U377=""),"",IF(OR(AND(U377&gt;0,N377="ocorrência"),AND(U377=0,N377="sem ocorrência")),"OK","FALHA"))</f>
        <v/>
      </c>
      <c r="W377" s="9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8">
        <f>IF(F378="","",IF(F378="misto","revisão manual",IF(OR(F378="pausa_curta",F378="mascara_abaixada",G378="costas"),"sem ocorrência","ocorrência")))</f>
        <v/>
      </c>
      <c r="O378" s="9" t="n"/>
      <c r="P378" s="10" t="n"/>
      <c r="Q378" s="11" t="n"/>
      <c r="R378" s="11" t="n"/>
      <c r="S378" s="11" t="n"/>
      <c r="T378" s="9" t="n"/>
      <c r="U378" s="9" t="n"/>
      <c r="V378" s="8">
        <f>IF(OR(N378="",N378="revisão manual",U378=""),"",IF(OR(AND(U378&gt;0,N378="ocorrência"),AND(U378=0,N378="sem ocorrência")),"OK","FALHA"))</f>
        <v/>
      </c>
      <c r="W378" s="9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8">
        <f>IF(F379="","",IF(F379="misto","revisão manual",IF(OR(F379="pausa_curta",F379="mascara_abaixada",G379="costas"),"sem ocorrência","ocorrência")))</f>
        <v/>
      </c>
      <c r="O379" s="9" t="n"/>
      <c r="P379" s="10" t="n"/>
      <c r="Q379" s="11" t="n"/>
      <c r="R379" s="11" t="n"/>
      <c r="S379" s="11" t="n"/>
      <c r="T379" s="9" t="n"/>
      <c r="U379" s="9" t="n"/>
      <c r="V379" s="8">
        <f>IF(OR(N379="",N379="revisão manual",U379=""),"",IF(OR(AND(U379&gt;0,N379="ocorrência"),AND(U379=0,N379="sem ocorrência")),"OK","FALHA"))</f>
        <v/>
      </c>
      <c r="W379" s="9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8">
        <f>IF(F380="","",IF(F380="misto","revisão manual",IF(OR(F380="pausa_curta",F380="mascara_abaixada",G380="costas"),"sem ocorrência","ocorrência")))</f>
        <v/>
      </c>
      <c r="O380" s="9" t="n"/>
      <c r="P380" s="10" t="n"/>
      <c r="Q380" s="11" t="n"/>
      <c r="R380" s="11" t="n"/>
      <c r="S380" s="11" t="n"/>
      <c r="T380" s="9" t="n"/>
      <c r="U380" s="9" t="n"/>
      <c r="V380" s="8">
        <f>IF(OR(N380="",N380="revisão manual",U380=""),"",IF(OR(AND(U380&gt;0,N380="ocorrência"),AND(U380=0,N380="sem ocorrência")),"OK","FALHA"))</f>
        <v/>
      </c>
      <c r="W380" s="9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8">
        <f>IF(F381="","",IF(F381="misto","revisão manual",IF(OR(F381="pausa_curta",F381="mascara_abaixada",G381="costas"),"sem ocorrência","ocorrência")))</f>
        <v/>
      </c>
      <c r="O381" s="9" t="n"/>
      <c r="P381" s="10" t="n"/>
      <c r="Q381" s="11" t="n"/>
      <c r="R381" s="11" t="n"/>
      <c r="S381" s="11" t="n"/>
      <c r="T381" s="9" t="n"/>
      <c r="U381" s="9" t="n"/>
      <c r="V381" s="8">
        <f>IF(OR(N381="",N381="revisão manual",U381=""),"",IF(OR(AND(U381&gt;0,N381="ocorrência"),AND(U381=0,N381="sem ocorrência")),"OK","FALHA"))</f>
        <v/>
      </c>
      <c r="W381" s="9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8">
        <f>IF(F382="","",IF(F382="misto","revisão manual",IF(OR(F382="pausa_curta",F382="mascara_abaixada",G382="costas"),"sem ocorrência","ocorrência")))</f>
        <v/>
      </c>
      <c r="O382" s="9" t="n"/>
      <c r="P382" s="10" t="n"/>
      <c r="Q382" s="11" t="n"/>
      <c r="R382" s="11" t="n"/>
      <c r="S382" s="11" t="n"/>
      <c r="T382" s="9" t="n"/>
      <c r="U382" s="9" t="n"/>
      <c r="V382" s="8">
        <f>IF(OR(N382="",N382="revisão manual",U382=""),"",IF(OR(AND(U382&gt;0,N382="ocorrência"),AND(U382=0,N382="sem ocorrência")),"OK","FALHA"))</f>
        <v/>
      </c>
      <c r="W382" s="9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8">
        <f>IF(F383="","",IF(F383="misto","revisão manual",IF(OR(F383="pausa_curta",F383="mascara_abaixada",G383="costas"),"sem ocorrência","ocorrência")))</f>
        <v/>
      </c>
      <c r="O383" s="9" t="n"/>
      <c r="P383" s="10" t="n"/>
      <c r="Q383" s="11" t="n"/>
      <c r="R383" s="11" t="n"/>
      <c r="S383" s="11" t="n"/>
      <c r="T383" s="9" t="n"/>
      <c r="U383" s="9" t="n"/>
      <c r="V383" s="8">
        <f>IF(OR(N383="",N383="revisão manual",U383=""),"",IF(OR(AND(U383&gt;0,N383="ocorrência"),AND(U383=0,N383="sem ocorrência")),"OK","FALHA"))</f>
        <v/>
      </c>
      <c r="W383" s="9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8">
        <f>IF(F384="","",IF(F384="misto","revisão manual",IF(OR(F384="pausa_curta",F384="mascara_abaixada",G384="costas"),"sem ocorrência","ocorrência")))</f>
        <v/>
      </c>
      <c r="O384" s="9" t="n"/>
      <c r="P384" s="10" t="n"/>
      <c r="Q384" s="11" t="n"/>
      <c r="R384" s="11" t="n"/>
      <c r="S384" s="11" t="n"/>
      <c r="T384" s="9" t="n"/>
      <c r="U384" s="9" t="n"/>
      <c r="V384" s="8">
        <f>IF(OR(N384="",N384="revisão manual",U384=""),"",IF(OR(AND(U384&gt;0,N384="ocorrência"),AND(U384=0,N384="sem ocorrência")),"OK","FALHA"))</f>
        <v/>
      </c>
      <c r="W384" s="9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8">
        <f>IF(F385="","",IF(F385="misto","revisão manual",IF(OR(F385="pausa_curta",F385="mascara_abaixada",G385="costas"),"sem ocorrência","ocorrência")))</f>
        <v/>
      </c>
      <c r="O385" s="9" t="n"/>
      <c r="P385" s="10" t="n"/>
      <c r="Q385" s="11" t="n"/>
      <c r="R385" s="11" t="n"/>
      <c r="S385" s="11" t="n"/>
      <c r="T385" s="9" t="n"/>
      <c r="U385" s="9" t="n"/>
      <c r="V385" s="8">
        <f>IF(OR(N385="",N385="revisão manual",U385=""),"",IF(OR(AND(U385&gt;0,N385="ocorrência"),AND(U385=0,N385="sem ocorrência")),"OK","FALHA"))</f>
        <v/>
      </c>
      <c r="W385" s="9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8">
        <f>IF(F386="","",IF(F386="misto","revisão manual",IF(OR(F386="pausa_curta",F386="mascara_abaixada",G386="costas"),"sem ocorrência","ocorrência")))</f>
        <v/>
      </c>
      <c r="O386" s="9" t="n"/>
      <c r="P386" s="10" t="n"/>
      <c r="Q386" s="11" t="n"/>
      <c r="R386" s="11" t="n"/>
      <c r="S386" s="11" t="n"/>
      <c r="T386" s="9" t="n"/>
      <c r="U386" s="9" t="n"/>
      <c r="V386" s="8">
        <f>IF(OR(N386="",N386="revisão manual",U386=""),"",IF(OR(AND(U386&gt;0,N386="ocorrência"),AND(U386=0,N386="sem ocorrência")),"OK","FALHA"))</f>
        <v/>
      </c>
      <c r="W386" s="9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8">
        <f>IF(F387="","",IF(F387="misto","revisão manual",IF(OR(F387="pausa_curta",F387="mascara_abaixada",G387="costas"),"sem ocorrência","ocorrência")))</f>
        <v/>
      </c>
      <c r="O387" s="9" t="n"/>
      <c r="P387" s="10" t="n"/>
      <c r="Q387" s="11" t="n"/>
      <c r="R387" s="11" t="n"/>
      <c r="S387" s="11" t="n"/>
      <c r="T387" s="9" t="n"/>
      <c r="U387" s="9" t="n"/>
      <c r="V387" s="8">
        <f>IF(OR(N387="",N387="revisão manual",U387=""),"",IF(OR(AND(U387&gt;0,N387="ocorrência"),AND(U387=0,N387="sem ocorrência")),"OK","FALHA"))</f>
        <v/>
      </c>
      <c r="W387" s="9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8">
        <f>IF(F388="","",IF(F388="misto","revisão manual",IF(OR(F388="pausa_curta",F388="mascara_abaixada",G388="costas"),"sem ocorrência","ocorrência")))</f>
        <v/>
      </c>
      <c r="O388" s="9" t="n"/>
      <c r="P388" s="10" t="n"/>
      <c r="Q388" s="11" t="n"/>
      <c r="R388" s="11" t="n"/>
      <c r="S388" s="11" t="n"/>
      <c r="T388" s="9" t="n"/>
      <c r="U388" s="9" t="n"/>
      <c r="V388" s="8">
        <f>IF(OR(N388="",N388="revisão manual",U388=""),"",IF(OR(AND(U388&gt;0,N388="ocorrência"),AND(U388=0,N388="sem ocorrência")),"OK","FALHA"))</f>
        <v/>
      </c>
      <c r="W388" s="9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8">
        <f>IF(F389="","",IF(F389="misto","revisão manual",IF(OR(F389="pausa_curta",F389="mascara_abaixada",G389="costas"),"sem ocorrência","ocorrência")))</f>
        <v/>
      </c>
      <c r="O389" s="9" t="n"/>
      <c r="P389" s="10" t="n"/>
      <c r="Q389" s="11" t="n"/>
      <c r="R389" s="11" t="n"/>
      <c r="S389" s="11" t="n"/>
      <c r="T389" s="9" t="n"/>
      <c r="U389" s="9" t="n"/>
      <c r="V389" s="8">
        <f>IF(OR(N389="",N389="revisão manual",U389=""),"",IF(OR(AND(U389&gt;0,N389="ocorrência"),AND(U389=0,N389="sem ocorrência")),"OK","FALHA"))</f>
        <v/>
      </c>
      <c r="W389" s="9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8">
        <f>IF(F390="","",IF(F390="misto","revisão manual",IF(OR(F390="pausa_curta",F390="mascara_abaixada",G390="costas"),"sem ocorrência","ocorrência")))</f>
        <v/>
      </c>
      <c r="O390" s="9" t="n"/>
      <c r="P390" s="10" t="n"/>
      <c r="Q390" s="11" t="n"/>
      <c r="R390" s="11" t="n"/>
      <c r="S390" s="11" t="n"/>
      <c r="T390" s="9" t="n"/>
      <c r="U390" s="9" t="n"/>
      <c r="V390" s="8">
        <f>IF(OR(N390="",N390="revisão manual",U390=""),"",IF(OR(AND(U390&gt;0,N390="ocorrência"),AND(U390=0,N390="sem ocorrência")),"OK","FALHA"))</f>
        <v/>
      </c>
      <c r="W390" s="9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8">
        <f>IF(F391="","",IF(F391="misto","revisão manual",IF(OR(F391="pausa_curta",F391="mascara_abaixada",G391="costas"),"sem ocorrência","ocorrência")))</f>
        <v/>
      </c>
      <c r="O391" s="9" t="n"/>
      <c r="P391" s="10" t="n"/>
      <c r="Q391" s="11" t="n"/>
      <c r="R391" s="11" t="n"/>
      <c r="S391" s="11" t="n"/>
      <c r="T391" s="9" t="n"/>
      <c r="U391" s="9" t="n"/>
      <c r="V391" s="8">
        <f>IF(OR(N391="",N391="revisão manual",U391=""),"",IF(OR(AND(U391&gt;0,N391="ocorrência"),AND(U391=0,N391="sem ocorrência")),"OK","FALHA"))</f>
        <v/>
      </c>
      <c r="W391" s="9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8">
        <f>IF(F392="","",IF(F392="misto","revisão manual",IF(OR(F392="pausa_curta",F392="mascara_abaixada",G392="costas"),"sem ocorrência","ocorrência")))</f>
        <v/>
      </c>
      <c r="O392" s="9" t="n"/>
      <c r="P392" s="10" t="n"/>
      <c r="Q392" s="11" t="n"/>
      <c r="R392" s="11" t="n"/>
      <c r="S392" s="11" t="n"/>
      <c r="T392" s="9" t="n"/>
      <c r="U392" s="9" t="n"/>
      <c r="V392" s="8">
        <f>IF(OR(N392="",N392="revisão manual",U392=""),"",IF(OR(AND(U392&gt;0,N392="ocorrência"),AND(U392=0,N392="sem ocorrência")),"OK","FALHA"))</f>
        <v/>
      </c>
      <c r="W392" s="9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8">
        <f>IF(F393="","",IF(F393="misto","revisão manual",IF(OR(F393="pausa_curta",F393="mascara_abaixada",G393="costas"),"sem ocorrência","ocorrência")))</f>
        <v/>
      </c>
      <c r="O393" s="9" t="n"/>
      <c r="P393" s="10" t="n"/>
      <c r="Q393" s="11" t="n"/>
      <c r="R393" s="11" t="n"/>
      <c r="S393" s="11" t="n"/>
      <c r="T393" s="9" t="n"/>
      <c r="U393" s="9" t="n"/>
      <c r="V393" s="8">
        <f>IF(OR(N393="",N393="revisão manual",U393=""),"",IF(OR(AND(U393&gt;0,N393="ocorrência"),AND(U393=0,N393="sem ocorrência")),"OK","FALHA"))</f>
        <v/>
      </c>
      <c r="W393" s="9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8">
        <f>IF(F394="","",IF(F394="misto","revisão manual",IF(OR(F394="pausa_curta",F394="mascara_abaixada",G394="costas"),"sem ocorrência","ocorrência")))</f>
        <v/>
      </c>
      <c r="O394" s="9" t="n"/>
      <c r="P394" s="10" t="n"/>
      <c r="Q394" s="11" t="n"/>
      <c r="R394" s="11" t="n"/>
      <c r="S394" s="11" t="n"/>
      <c r="T394" s="9" t="n"/>
      <c r="U394" s="9" t="n"/>
      <c r="V394" s="8">
        <f>IF(OR(N394="",N394="revisão manual",U394=""),"",IF(OR(AND(U394&gt;0,N394="ocorrência"),AND(U394=0,N394="sem ocorrência")),"OK","FALHA"))</f>
        <v/>
      </c>
      <c r="W394" s="9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8">
        <f>IF(F395="","",IF(F395="misto","revisão manual",IF(OR(F395="pausa_curta",F395="mascara_abaixada",G395="costas"),"sem ocorrência","ocorrência")))</f>
        <v/>
      </c>
      <c r="O395" s="9" t="n"/>
      <c r="P395" s="10" t="n"/>
      <c r="Q395" s="11" t="n"/>
      <c r="R395" s="11" t="n"/>
      <c r="S395" s="11" t="n"/>
      <c r="T395" s="9" t="n"/>
      <c r="U395" s="9" t="n"/>
      <c r="V395" s="8">
        <f>IF(OR(N395="",N395="revisão manual",U395=""),"",IF(OR(AND(U395&gt;0,N395="ocorrência"),AND(U395=0,N395="sem ocorrência")),"OK","FALHA"))</f>
        <v/>
      </c>
      <c r="W395" s="9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8">
        <f>IF(F396="","",IF(F396="misto","revisão manual",IF(OR(F396="pausa_curta",F396="mascara_abaixada",G396="costas"),"sem ocorrência","ocorrência")))</f>
        <v/>
      </c>
      <c r="O396" s="9" t="n"/>
      <c r="P396" s="10" t="n"/>
      <c r="Q396" s="11" t="n"/>
      <c r="R396" s="11" t="n"/>
      <c r="S396" s="11" t="n"/>
      <c r="T396" s="9" t="n"/>
      <c r="U396" s="9" t="n"/>
      <c r="V396" s="8">
        <f>IF(OR(N396="",N396="revisão manual",U396=""),"",IF(OR(AND(U396&gt;0,N396="ocorrência"),AND(U396=0,N396="sem ocorrência")),"OK","FALHA"))</f>
        <v/>
      </c>
      <c r="W396" s="9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8">
        <f>IF(F397="","",IF(F397="misto","revisão manual",IF(OR(F397="pausa_curta",F397="mascara_abaixada",G397="costas"),"sem ocorrência","ocorrência")))</f>
        <v/>
      </c>
      <c r="O397" s="9" t="n"/>
      <c r="P397" s="10" t="n"/>
      <c r="Q397" s="11" t="n"/>
      <c r="R397" s="11" t="n"/>
      <c r="S397" s="11" t="n"/>
      <c r="T397" s="9" t="n"/>
      <c r="U397" s="9" t="n"/>
      <c r="V397" s="8">
        <f>IF(OR(N397="",N397="revisão manual",U397=""),"",IF(OR(AND(U397&gt;0,N397="ocorrência"),AND(U397=0,N397="sem ocorrência")),"OK","FALHA"))</f>
        <v/>
      </c>
      <c r="W397" s="9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8">
        <f>IF(F398="","",IF(F398="misto","revisão manual",IF(OR(F398="pausa_curta",F398="mascara_abaixada",G398="costas"),"sem ocorrência","ocorrência")))</f>
        <v/>
      </c>
      <c r="O398" s="9" t="n"/>
      <c r="P398" s="10" t="n"/>
      <c r="Q398" s="11" t="n"/>
      <c r="R398" s="11" t="n"/>
      <c r="S398" s="11" t="n"/>
      <c r="T398" s="9" t="n"/>
      <c r="U398" s="9" t="n"/>
      <c r="V398" s="8">
        <f>IF(OR(N398="",N398="revisão manual",U398=""),"",IF(OR(AND(U398&gt;0,N398="ocorrência"),AND(U398=0,N398="sem ocorrência")),"OK","FALHA"))</f>
        <v/>
      </c>
      <c r="W398" s="9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8">
        <f>IF(F399="","",IF(F399="misto","revisão manual",IF(OR(F399="pausa_curta",F399="mascara_abaixada",G399="costas"),"sem ocorrência","ocorrência")))</f>
        <v/>
      </c>
      <c r="O399" s="9" t="n"/>
      <c r="P399" s="10" t="n"/>
      <c r="Q399" s="11" t="n"/>
      <c r="R399" s="11" t="n"/>
      <c r="S399" s="11" t="n"/>
      <c r="T399" s="9" t="n"/>
      <c r="U399" s="9" t="n"/>
      <c r="V399" s="8">
        <f>IF(OR(N399="",N399="revisão manual",U399=""),"",IF(OR(AND(U399&gt;0,N399="ocorrência"),AND(U399=0,N399="sem ocorrência")),"OK","FALHA"))</f>
        <v/>
      </c>
      <c r="W399" s="9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8">
        <f>IF(F400="","",IF(F400="misto","revisão manual",IF(OR(F400="pausa_curta",F400="mascara_abaixada",G400="costas"),"sem ocorrência","ocorrência")))</f>
        <v/>
      </c>
      <c r="O400" s="9" t="n"/>
      <c r="P400" s="10" t="n"/>
      <c r="Q400" s="11" t="n"/>
      <c r="R400" s="11" t="n"/>
      <c r="S400" s="11" t="n"/>
      <c r="T400" s="9" t="n"/>
      <c r="U400" s="9" t="n"/>
      <c r="V400" s="8">
        <f>IF(OR(N400="",N400="revisão manual",U400=""),"",IF(OR(AND(U400&gt;0,N400="ocorrência"),AND(U400=0,N400="sem ocorrência")),"OK","FALHA"))</f>
        <v/>
      </c>
      <c r="W400" s="9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8">
        <f>IF(F401="","",IF(F401="misto","revisão manual",IF(OR(F401="pausa_curta",F401="mascara_abaixada",G401="costas"),"sem ocorrência","ocorrência")))</f>
        <v/>
      </c>
      <c r="O401" s="9" t="n"/>
      <c r="P401" s="10" t="n"/>
      <c r="Q401" s="11" t="n"/>
      <c r="R401" s="11" t="n"/>
      <c r="S401" s="11" t="n"/>
      <c r="T401" s="9" t="n"/>
      <c r="U401" s="9" t="n"/>
      <c r="V401" s="8">
        <f>IF(OR(N401="",N401="revisão manual",U401=""),"",IF(OR(AND(U401&gt;0,N401="ocorrência"),AND(U401=0,N401="sem ocorrência")),"OK","FALHA"))</f>
        <v/>
      </c>
      <c r="W401" s="9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8">
        <f>IF(F402="","",IF(F402="misto","revisão manual",IF(OR(F402="pausa_curta",F402="mascara_abaixada",G402="costas"),"sem ocorrência","ocorrência")))</f>
        <v/>
      </c>
      <c r="O402" s="9" t="n"/>
      <c r="P402" s="10" t="n"/>
      <c r="Q402" s="11" t="n"/>
      <c r="R402" s="11" t="n"/>
      <c r="S402" s="11" t="n"/>
      <c r="T402" s="9" t="n"/>
      <c r="U402" s="9" t="n"/>
      <c r="V402" s="8">
        <f>IF(OR(N402="",N402="revisão manual",U402=""),"",IF(OR(AND(U402&gt;0,N402="ocorrência"),AND(U402=0,N402="sem ocorrência")),"OK","FALHA"))</f>
        <v/>
      </c>
      <c r="W402" s="9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8">
        <f>IF(F403="","",IF(F403="misto","revisão manual",IF(OR(F403="pausa_curta",F403="mascara_abaixada",G403="costas"),"sem ocorrência","ocorrência")))</f>
        <v/>
      </c>
      <c r="O403" s="9" t="n"/>
      <c r="P403" s="10" t="n"/>
      <c r="Q403" s="11" t="n"/>
      <c r="R403" s="11" t="n"/>
      <c r="S403" s="11" t="n"/>
      <c r="T403" s="9" t="n"/>
      <c r="U403" s="9" t="n"/>
      <c r="V403" s="8">
        <f>IF(OR(N403="",N403="revisão manual",U403=""),"",IF(OR(AND(U403&gt;0,N403="ocorrência"),AND(U403=0,N403="sem ocorrência")),"OK","FALHA"))</f>
        <v/>
      </c>
      <c r="W403" s="9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8">
        <f>IF(F404="","",IF(F404="misto","revisão manual",IF(OR(F404="pausa_curta",F404="mascara_abaixada",G404="costas"),"sem ocorrência","ocorrência")))</f>
        <v/>
      </c>
      <c r="O404" s="9" t="n"/>
      <c r="P404" s="10" t="n"/>
      <c r="Q404" s="11" t="n"/>
      <c r="R404" s="11" t="n"/>
      <c r="S404" s="11" t="n"/>
      <c r="T404" s="9" t="n"/>
      <c r="U404" s="9" t="n"/>
      <c r="V404" s="8">
        <f>IF(OR(N404="",N404="revisão manual",U404=""),"",IF(OR(AND(U404&gt;0,N404="ocorrência"),AND(U404=0,N404="sem ocorrência")),"OK","FALHA"))</f>
        <v/>
      </c>
      <c r="W404" s="9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8">
        <f>IF(F405="","",IF(F405="misto","revisão manual",IF(OR(F405="pausa_curta",F405="mascara_abaixada",G405="costas"),"sem ocorrência","ocorrência")))</f>
        <v/>
      </c>
      <c r="O405" s="9" t="n"/>
      <c r="P405" s="10" t="n"/>
      <c r="Q405" s="11" t="n"/>
      <c r="R405" s="11" t="n"/>
      <c r="S405" s="11" t="n"/>
      <c r="T405" s="9" t="n"/>
      <c r="U405" s="9" t="n"/>
      <c r="V405" s="8">
        <f>IF(OR(N405="",N405="revisão manual",U405=""),"",IF(OR(AND(U405&gt;0,N405="ocorrência"),AND(U405=0,N405="sem ocorrência")),"OK","FALHA"))</f>
        <v/>
      </c>
      <c r="W405" s="9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8">
        <f>IF(F406="","",IF(F406="misto","revisão manual",IF(OR(F406="pausa_curta",F406="mascara_abaixada",G406="costas"),"sem ocorrência","ocorrência")))</f>
        <v/>
      </c>
      <c r="O406" s="9" t="n"/>
      <c r="P406" s="10" t="n"/>
      <c r="Q406" s="11" t="n"/>
      <c r="R406" s="11" t="n"/>
      <c r="S406" s="11" t="n"/>
      <c r="T406" s="9" t="n"/>
      <c r="U406" s="9" t="n"/>
      <c r="V406" s="8">
        <f>IF(OR(N406="",N406="revisão manual",U406=""),"",IF(OR(AND(U406&gt;0,N406="ocorrência"),AND(U406=0,N406="sem ocorrência")),"OK","FALHA"))</f>
        <v/>
      </c>
      <c r="W406" s="9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8">
        <f>IF(F407="","",IF(F407="misto","revisão manual",IF(OR(F407="pausa_curta",F407="mascara_abaixada",G407="costas"),"sem ocorrência","ocorrência")))</f>
        <v/>
      </c>
      <c r="O407" s="9" t="n"/>
      <c r="P407" s="10" t="n"/>
      <c r="Q407" s="11" t="n"/>
      <c r="R407" s="11" t="n"/>
      <c r="S407" s="11" t="n"/>
      <c r="T407" s="9" t="n"/>
      <c r="U407" s="9" t="n"/>
      <c r="V407" s="8">
        <f>IF(OR(N407="",N407="revisão manual",U407=""),"",IF(OR(AND(U407&gt;0,N407="ocorrência"),AND(U407=0,N407="sem ocorrência")),"OK","FALHA"))</f>
        <v/>
      </c>
      <c r="W407" s="9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8">
        <f>IF(F408="","",IF(F408="misto","revisão manual",IF(OR(F408="pausa_curta",F408="mascara_abaixada",G408="costas"),"sem ocorrência","ocorrência")))</f>
        <v/>
      </c>
      <c r="O408" s="9" t="n"/>
      <c r="P408" s="10" t="n"/>
      <c r="Q408" s="11" t="n"/>
      <c r="R408" s="11" t="n"/>
      <c r="S408" s="11" t="n"/>
      <c r="T408" s="9" t="n"/>
      <c r="U408" s="9" t="n"/>
      <c r="V408" s="8">
        <f>IF(OR(N408="",N408="revisão manual",U408=""),"",IF(OR(AND(U408&gt;0,N408="ocorrência"),AND(U408=0,N408="sem ocorrência")),"OK","FALHA"))</f>
        <v/>
      </c>
      <c r="W408" s="9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8">
        <f>IF(F409="","",IF(F409="misto","revisão manual",IF(OR(F409="pausa_curta",F409="mascara_abaixada",G409="costas"),"sem ocorrência","ocorrência")))</f>
        <v/>
      </c>
      <c r="O409" s="9" t="n"/>
      <c r="P409" s="10" t="n"/>
      <c r="Q409" s="11" t="n"/>
      <c r="R409" s="11" t="n"/>
      <c r="S409" s="11" t="n"/>
      <c r="T409" s="9" t="n"/>
      <c r="U409" s="9" t="n"/>
      <c r="V409" s="8">
        <f>IF(OR(N409="",N409="revisão manual",U409=""),"",IF(OR(AND(U409&gt;0,N409="ocorrência"),AND(U409=0,N409="sem ocorrência")),"OK","FALHA"))</f>
        <v/>
      </c>
      <c r="W409" s="9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8">
        <f>IF(F410="","",IF(F410="misto","revisão manual",IF(OR(F410="pausa_curta",F410="mascara_abaixada",G410="costas"),"sem ocorrência","ocorrência")))</f>
        <v/>
      </c>
      <c r="O410" s="9" t="n"/>
      <c r="P410" s="10" t="n"/>
      <c r="Q410" s="11" t="n"/>
      <c r="R410" s="11" t="n"/>
      <c r="S410" s="11" t="n"/>
      <c r="T410" s="9" t="n"/>
      <c r="U410" s="9" t="n"/>
      <c r="V410" s="8">
        <f>IF(OR(N410="",N410="revisão manual",U410=""),"",IF(OR(AND(U410&gt;0,N410="ocorrência"),AND(U410=0,N410="sem ocorrência")),"OK","FALHA"))</f>
        <v/>
      </c>
      <c r="W410" s="9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8">
        <f>IF(F411="","",IF(F411="misto","revisão manual",IF(OR(F411="pausa_curta",F411="mascara_abaixada",G411="costas"),"sem ocorrência","ocorrência")))</f>
        <v/>
      </c>
      <c r="O411" s="9" t="n"/>
      <c r="P411" s="10" t="n"/>
      <c r="Q411" s="11" t="n"/>
      <c r="R411" s="11" t="n"/>
      <c r="S411" s="11" t="n"/>
      <c r="T411" s="9" t="n"/>
      <c r="U411" s="9" t="n"/>
      <c r="V411" s="8">
        <f>IF(OR(N411="",N411="revisão manual",U411=""),"",IF(OR(AND(U411&gt;0,N411="ocorrência"),AND(U411=0,N411="sem ocorrência")),"OK","FALHA"))</f>
        <v/>
      </c>
      <c r="W411" s="9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8">
        <f>IF(F412="","",IF(F412="misto","revisão manual",IF(OR(F412="pausa_curta",F412="mascara_abaixada",G412="costas"),"sem ocorrência","ocorrência")))</f>
        <v/>
      </c>
      <c r="O412" s="9" t="n"/>
      <c r="P412" s="10" t="n"/>
      <c r="Q412" s="11" t="n"/>
      <c r="R412" s="11" t="n"/>
      <c r="S412" s="11" t="n"/>
      <c r="T412" s="9" t="n"/>
      <c r="U412" s="9" t="n"/>
      <c r="V412" s="8">
        <f>IF(OR(N412="",N412="revisão manual",U412=""),"",IF(OR(AND(U412&gt;0,N412="ocorrência"),AND(U412=0,N412="sem ocorrência")),"OK","FALHA"))</f>
        <v/>
      </c>
      <c r="W412" s="9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8">
        <f>IF(F413="","",IF(F413="misto","revisão manual",IF(OR(F413="pausa_curta",F413="mascara_abaixada",G413="costas"),"sem ocorrência","ocorrência")))</f>
        <v/>
      </c>
      <c r="O413" s="9" t="n"/>
      <c r="P413" s="10" t="n"/>
      <c r="Q413" s="11" t="n"/>
      <c r="R413" s="11" t="n"/>
      <c r="S413" s="11" t="n"/>
      <c r="T413" s="9" t="n"/>
      <c r="U413" s="9" t="n"/>
      <c r="V413" s="8">
        <f>IF(OR(N413="",N413="revisão manual",U413=""),"",IF(OR(AND(U413&gt;0,N413="ocorrência"),AND(U413=0,N413="sem ocorrência")),"OK","FALHA"))</f>
        <v/>
      </c>
      <c r="W413" s="9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8">
        <f>IF(F414="","",IF(F414="misto","revisão manual",IF(OR(F414="pausa_curta",F414="mascara_abaixada",G414="costas"),"sem ocorrência","ocorrência")))</f>
        <v/>
      </c>
      <c r="O414" s="9" t="n"/>
      <c r="P414" s="10" t="n"/>
      <c r="Q414" s="11" t="n"/>
      <c r="R414" s="11" t="n"/>
      <c r="S414" s="11" t="n"/>
      <c r="T414" s="9" t="n"/>
      <c r="U414" s="9" t="n"/>
      <c r="V414" s="8">
        <f>IF(OR(N414="",N414="revisão manual",U414=""),"",IF(OR(AND(U414&gt;0,N414="ocorrência"),AND(U414=0,N414="sem ocorrência")),"OK","FALHA"))</f>
        <v/>
      </c>
      <c r="W414" s="9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8">
        <f>IF(F415="","",IF(F415="misto","revisão manual",IF(OR(F415="pausa_curta",F415="mascara_abaixada",G415="costas"),"sem ocorrência","ocorrência")))</f>
        <v/>
      </c>
      <c r="O415" s="9" t="n"/>
      <c r="P415" s="10" t="n"/>
      <c r="Q415" s="11" t="n"/>
      <c r="R415" s="11" t="n"/>
      <c r="S415" s="11" t="n"/>
      <c r="T415" s="9" t="n"/>
      <c r="U415" s="9" t="n"/>
      <c r="V415" s="8">
        <f>IF(OR(N415="",N415="revisão manual",U415=""),"",IF(OR(AND(U415&gt;0,N415="ocorrência"),AND(U415=0,N415="sem ocorrência")),"OK","FALHA"))</f>
        <v/>
      </c>
      <c r="W415" s="9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8">
        <f>IF(F416="","",IF(F416="misto","revisão manual",IF(OR(F416="pausa_curta",F416="mascara_abaixada",G416="costas"),"sem ocorrência","ocorrência")))</f>
        <v/>
      </c>
      <c r="O416" s="9" t="n"/>
      <c r="P416" s="10" t="n"/>
      <c r="Q416" s="11" t="n"/>
      <c r="R416" s="11" t="n"/>
      <c r="S416" s="11" t="n"/>
      <c r="T416" s="9" t="n"/>
      <c r="U416" s="9" t="n"/>
      <c r="V416" s="8">
        <f>IF(OR(N416="",N416="revisão manual",U416=""),"",IF(OR(AND(U416&gt;0,N416="ocorrência"),AND(U416=0,N416="sem ocorrência")),"OK","FALHA"))</f>
        <v/>
      </c>
      <c r="W416" s="9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8">
        <f>IF(F417="","",IF(F417="misto","revisão manual",IF(OR(F417="pausa_curta",F417="mascara_abaixada",G417="costas"),"sem ocorrência","ocorrência")))</f>
        <v/>
      </c>
      <c r="O417" s="9" t="n"/>
      <c r="P417" s="10" t="n"/>
      <c r="Q417" s="11" t="n"/>
      <c r="R417" s="11" t="n"/>
      <c r="S417" s="11" t="n"/>
      <c r="T417" s="9" t="n"/>
      <c r="U417" s="9" t="n"/>
      <c r="V417" s="8">
        <f>IF(OR(N417="",N417="revisão manual",U417=""),"",IF(OR(AND(U417&gt;0,N417="ocorrência"),AND(U417=0,N417="sem ocorrência")),"OK","FALHA"))</f>
        <v/>
      </c>
      <c r="W417" s="9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8">
        <f>IF(F418="","",IF(F418="misto","revisão manual",IF(OR(F418="pausa_curta",F418="mascara_abaixada",G418="costas"),"sem ocorrência","ocorrência")))</f>
        <v/>
      </c>
      <c r="O418" s="9" t="n"/>
      <c r="P418" s="10" t="n"/>
      <c r="Q418" s="11" t="n"/>
      <c r="R418" s="11" t="n"/>
      <c r="S418" s="11" t="n"/>
      <c r="T418" s="9" t="n"/>
      <c r="U418" s="9" t="n"/>
      <c r="V418" s="8">
        <f>IF(OR(N418="",N418="revisão manual",U418=""),"",IF(OR(AND(U418&gt;0,N418="ocorrência"),AND(U418=0,N418="sem ocorrência")),"OK","FALHA"))</f>
        <v/>
      </c>
      <c r="W418" s="9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8">
        <f>IF(F419="","",IF(F419="misto","revisão manual",IF(OR(F419="pausa_curta",F419="mascara_abaixada",G419="costas"),"sem ocorrência","ocorrência")))</f>
        <v/>
      </c>
      <c r="O419" s="9" t="n"/>
      <c r="P419" s="10" t="n"/>
      <c r="Q419" s="11" t="n"/>
      <c r="R419" s="11" t="n"/>
      <c r="S419" s="11" t="n"/>
      <c r="T419" s="9" t="n"/>
      <c r="U419" s="9" t="n"/>
      <c r="V419" s="8">
        <f>IF(OR(N419="",N419="revisão manual",U419=""),"",IF(OR(AND(U419&gt;0,N419="ocorrência"),AND(U419=0,N419="sem ocorrência")),"OK","FALHA"))</f>
        <v/>
      </c>
      <c r="W419" s="9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8">
        <f>IF(F420="","",IF(F420="misto","revisão manual",IF(OR(F420="pausa_curta",F420="mascara_abaixada",G420="costas"),"sem ocorrência","ocorrência")))</f>
        <v/>
      </c>
      <c r="O420" s="9" t="n"/>
      <c r="P420" s="10" t="n"/>
      <c r="Q420" s="11" t="n"/>
      <c r="R420" s="11" t="n"/>
      <c r="S420" s="11" t="n"/>
      <c r="T420" s="9" t="n"/>
      <c r="U420" s="9" t="n"/>
      <c r="V420" s="8">
        <f>IF(OR(N420="",N420="revisão manual",U420=""),"",IF(OR(AND(U420&gt;0,N420="ocorrência"),AND(U420=0,N420="sem ocorrência")),"OK","FALHA"))</f>
        <v/>
      </c>
      <c r="W420" s="9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8">
        <f>IF(F421="","",IF(F421="misto","revisão manual",IF(OR(F421="pausa_curta",F421="mascara_abaixada",G421="costas"),"sem ocorrência","ocorrência")))</f>
        <v/>
      </c>
      <c r="O421" s="9" t="n"/>
      <c r="P421" s="10" t="n"/>
      <c r="Q421" s="11" t="n"/>
      <c r="R421" s="11" t="n"/>
      <c r="S421" s="11" t="n"/>
      <c r="T421" s="9" t="n"/>
      <c r="U421" s="9" t="n"/>
      <c r="V421" s="8">
        <f>IF(OR(N421="",N421="revisão manual",U421=""),"",IF(OR(AND(U421&gt;0,N421="ocorrência"),AND(U421=0,N421="sem ocorrência")),"OK","FALHA"))</f>
        <v/>
      </c>
      <c r="W421" s="9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8">
        <f>IF(F422="","",IF(F422="misto","revisão manual",IF(OR(F422="pausa_curta",F422="mascara_abaixada",G422="costas"),"sem ocorrência","ocorrência")))</f>
        <v/>
      </c>
      <c r="O422" s="9" t="n"/>
      <c r="P422" s="10" t="n"/>
      <c r="Q422" s="11" t="n"/>
      <c r="R422" s="11" t="n"/>
      <c r="S422" s="11" t="n"/>
      <c r="T422" s="9" t="n"/>
      <c r="U422" s="9" t="n"/>
      <c r="V422" s="8">
        <f>IF(OR(N422="",N422="revisão manual",U422=""),"",IF(OR(AND(U422&gt;0,N422="ocorrência"),AND(U422=0,N422="sem ocorrência")),"OK","FALHA"))</f>
        <v/>
      </c>
      <c r="W422" s="9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8">
        <f>IF(F423="","",IF(F423="misto","revisão manual",IF(OR(F423="pausa_curta",F423="mascara_abaixada",G423="costas"),"sem ocorrência","ocorrência")))</f>
        <v/>
      </c>
      <c r="O423" s="9" t="n"/>
      <c r="P423" s="10" t="n"/>
      <c r="Q423" s="11" t="n"/>
      <c r="R423" s="11" t="n"/>
      <c r="S423" s="11" t="n"/>
      <c r="T423" s="9" t="n"/>
      <c r="U423" s="9" t="n"/>
      <c r="V423" s="8">
        <f>IF(OR(N423="",N423="revisão manual",U423=""),"",IF(OR(AND(U423&gt;0,N423="ocorrência"),AND(U423=0,N423="sem ocorrência")),"OK","FALHA"))</f>
        <v/>
      </c>
      <c r="W423" s="9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8">
        <f>IF(F424="","",IF(F424="misto","revisão manual",IF(OR(F424="pausa_curta",F424="mascara_abaixada",G424="costas"),"sem ocorrência","ocorrência")))</f>
        <v/>
      </c>
      <c r="O424" s="9" t="n"/>
      <c r="P424" s="10" t="n"/>
      <c r="Q424" s="11" t="n"/>
      <c r="R424" s="11" t="n"/>
      <c r="S424" s="11" t="n"/>
      <c r="T424" s="9" t="n"/>
      <c r="U424" s="9" t="n"/>
      <c r="V424" s="8">
        <f>IF(OR(N424="",N424="revisão manual",U424=""),"",IF(OR(AND(U424&gt;0,N424="ocorrência"),AND(U424=0,N424="sem ocorrência")),"OK","FALHA"))</f>
        <v/>
      </c>
      <c r="W424" s="9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8">
        <f>IF(F425="","",IF(F425="misto","revisão manual",IF(OR(F425="pausa_curta",F425="mascara_abaixada",G425="costas"),"sem ocorrência","ocorrência")))</f>
        <v/>
      </c>
      <c r="O425" s="9" t="n"/>
      <c r="P425" s="10" t="n"/>
      <c r="Q425" s="11" t="n"/>
      <c r="R425" s="11" t="n"/>
      <c r="S425" s="11" t="n"/>
      <c r="T425" s="9" t="n"/>
      <c r="U425" s="9" t="n"/>
      <c r="V425" s="8">
        <f>IF(OR(N425="",N425="revisão manual",U425=""),"",IF(OR(AND(U425&gt;0,N425="ocorrência"),AND(U425=0,N425="sem ocorrência")),"OK","FALHA"))</f>
        <v/>
      </c>
      <c r="W425" s="9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8">
        <f>IF(F426="","",IF(F426="misto","revisão manual",IF(OR(F426="pausa_curta",F426="mascara_abaixada",G426="costas"),"sem ocorrência","ocorrência")))</f>
        <v/>
      </c>
      <c r="O426" s="9" t="n"/>
      <c r="P426" s="10" t="n"/>
      <c r="Q426" s="11" t="n"/>
      <c r="R426" s="11" t="n"/>
      <c r="S426" s="11" t="n"/>
      <c r="T426" s="9" t="n"/>
      <c r="U426" s="9" t="n"/>
      <c r="V426" s="8">
        <f>IF(OR(N426="",N426="revisão manual",U426=""),"",IF(OR(AND(U426&gt;0,N426="ocorrência"),AND(U426=0,N426="sem ocorrência")),"OK","FALHA"))</f>
        <v/>
      </c>
      <c r="W426" s="9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8">
        <f>IF(F427="","",IF(F427="misto","revisão manual",IF(OR(F427="pausa_curta",F427="mascara_abaixada",G427="costas"),"sem ocorrência","ocorrência")))</f>
        <v/>
      </c>
      <c r="O427" s="9" t="n"/>
      <c r="P427" s="10" t="n"/>
      <c r="Q427" s="11" t="n"/>
      <c r="R427" s="11" t="n"/>
      <c r="S427" s="11" t="n"/>
      <c r="T427" s="9" t="n"/>
      <c r="U427" s="9" t="n"/>
      <c r="V427" s="8">
        <f>IF(OR(N427="",N427="revisão manual",U427=""),"",IF(OR(AND(U427&gt;0,N427="ocorrência"),AND(U427=0,N427="sem ocorrência")),"OK","FALHA"))</f>
        <v/>
      </c>
      <c r="W427" s="9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8">
        <f>IF(F428="","",IF(F428="misto","revisão manual",IF(OR(F428="pausa_curta",F428="mascara_abaixada",G428="costas"),"sem ocorrência","ocorrência")))</f>
        <v/>
      </c>
      <c r="O428" s="9" t="n"/>
      <c r="P428" s="10" t="n"/>
      <c r="Q428" s="11" t="n"/>
      <c r="R428" s="11" t="n"/>
      <c r="S428" s="11" t="n"/>
      <c r="T428" s="9" t="n"/>
      <c r="U428" s="9" t="n"/>
      <c r="V428" s="8">
        <f>IF(OR(N428="",N428="revisão manual",U428=""),"",IF(OR(AND(U428&gt;0,N428="ocorrência"),AND(U428=0,N428="sem ocorrência")),"OK","FALHA"))</f>
        <v/>
      </c>
      <c r="W428" s="9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8">
        <f>IF(F429="","",IF(F429="misto","revisão manual",IF(OR(F429="pausa_curta",F429="mascara_abaixada",G429="costas"),"sem ocorrência","ocorrência")))</f>
        <v/>
      </c>
      <c r="O429" s="9" t="n"/>
      <c r="P429" s="10" t="n"/>
      <c r="Q429" s="11" t="n"/>
      <c r="R429" s="11" t="n"/>
      <c r="S429" s="11" t="n"/>
      <c r="T429" s="9" t="n"/>
      <c r="U429" s="9" t="n"/>
      <c r="V429" s="8">
        <f>IF(OR(N429="",N429="revisão manual",U429=""),"",IF(OR(AND(U429&gt;0,N429="ocorrência"),AND(U429=0,N429="sem ocorrência")),"OK","FALHA"))</f>
        <v/>
      </c>
      <c r="W429" s="9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8">
        <f>IF(F430="","",IF(F430="misto","revisão manual",IF(OR(F430="pausa_curta",F430="mascara_abaixada",G430="costas"),"sem ocorrência","ocorrência")))</f>
        <v/>
      </c>
      <c r="O430" s="9" t="n"/>
      <c r="P430" s="10" t="n"/>
      <c r="Q430" s="11" t="n"/>
      <c r="R430" s="11" t="n"/>
      <c r="S430" s="11" t="n"/>
      <c r="T430" s="9" t="n"/>
      <c r="U430" s="9" t="n"/>
      <c r="V430" s="8">
        <f>IF(OR(N430="",N430="revisão manual",U430=""),"",IF(OR(AND(U430&gt;0,N430="ocorrência"),AND(U430=0,N430="sem ocorrência")),"OK","FALHA"))</f>
        <v/>
      </c>
      <c r="W430" s="9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8">
        <f>IF(F431="","",IF(F431="misto","revisão manual",IF(OR(F431="pausa_curta",F431="mascara_abaixada",G431="costas"),"sem ocorrência","ocorrência")))</f>
        <v/>
      </c>
      <c r="O431" s="9" t="n"/>
      <c r="P431" s="10" t="n"/>
      <c r="Q431" s="11" t="n"/>
      <c r="R431" s="11" t="n"/>
      <c r="S431" s="11" t="n"/>
      <c r="T431" s="9" t="n"/>
      <c r="U431" s="9" t="n"/>
      <c r="V431" s="8">
        <f>IF(OR(N431="",N431="revisão manual",U431=""),"",IF(OR(AND(U431&gt;0,N431="ocorrência"),AND(U431=0,N431="sem ocorrência")),"OK","FALHA"))</f>
        <v/>
      </c>
      <c r="W431" s="9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8">
        <f>IF(F432="","",IF(F432="misto","revisão manual",IF(OR(F432="pausa_curta",F432="mascara_abaixada",G432="costas"),"sem ocorrência","ocorrência")))</f>
        <v/>
      </c>
      <c r="O432" s="9" t="n"/>
      <c r="P432" s="10" t="n"/>
      <c r="Q432" s="11" t="n"/>
      <c r="R432" s="11" t="n"/>
      <c r="S432" s="11" t="n"/>
      <c r="T432" s="9" t="n"/>
      <c r="U432" s="9" t="n"/>
      <c r="V432" s="8">
        <f>IF(OR(N432="",N432="revisão manual",U432=""),"",IF(OR(AND(U432&gt;0,N432="ocorrência"),AND(U432=0,N432="sem ocorrência")),"OK","FALHA"))</f>
        <v/>
      </c>
      <c r="W432" s="9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8">
        <f>IF(F433="","",IF(F433="misto","revisão manual",IF(OR(F433="pausa_curta",F433="mascara_abaixada",G433="costas"),"sem ocorrência","ocorrência")))</f>
        <v/>
      </c>
      <c r="O433" s="9" t="n"/>
      <c r="P433" s="10" t="n"/>
      <c r="Q433" s="11" t="n"/>
      <c r="R433" s="11" t="n"/>
      <c r="S433" s="11" t="n"/>
      <c r="T433" s="9" t="n"/>
      <c r="U433" s="9" t="n"/>
      <c r="V433" s="8">
        <f>IF(OR(N433="",N433="revisão manual",U433=""),"",IF(OR(AND(U433&gt;0,N433="ocorrência"),AND(U433=0,N433="sem ocorrência")),"OK","FALHA"))</f>
        <v/>
      </c>
      <c r="W433" s="9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8">
        <f>IF(F434="","",IF(F434="misto","revisão manual",IF(OR(F434="pausa_curta",F434="mascara_abaixada",G434="costas"),"sem ocorrência","ocorrência")))</f>
        <v/>
      </c>
      <c r="O434" s="9" t="n"/>
      <c r="P434" s="10" t="n"/>
      <c r="Q434" s="11" t="n"/>
      <c r="R434" s="11" t="n"/>
      <c r="S434" s="11" t="n"/>
      <c r="T434" s="9" t="n"/>
      <c r="U434" s="9" t="n"/>
      <c r="V434" s="8">
        <f>IF(OR(N434="",N434="revisão manual",U434=""),"",IF(OR(AND(U434&gt;0,N434="ocorrência"),AND(U434=0,N434="sem ocorrência")),"OK","FALHA"))</f>
        <v/>
      </c>
      <c r="W434" s="9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8">
        <f>IF(F435="","",IF(F435="misto","revisão manual",IF(OR(F435="pausa_curta",F435="mascara_abaixada",G435="costas"),"sem ocorrência","ocorrência")))</f>
        <v/>
      </c>
      <c r="O435" s="9" t="n"/>
      <c r="P435" s="10" t="n"/>
      <c r="Q435" s="11" t="n"/>
      <c r="R435" s="11" t="n"/>
      <c r="S435" s="11" t="n"/>
      <c r="T435" s="9" t="n"/>
      <c r="U435" s="9" t="n"/>
      <c r="V435" s="8">
        <f>IF(OR(N435="",N435="revisão manual",U435=""),"",IF(OR(AND(U435&gt;0,N435="ocorrência"),AND(U435=0,N435="sem ocorrência")),"OK","FALHA"))</f>
        <v/>
      </c>
      <c r="W435" s="9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8">
        <f>IF(F436="","",IF(F436="misto","revisão manual",IF(OR(F436="pausa_curta",F436="mascara_abaixada",G436="costas"),"sem ocorrência","ocorrência")))</f>
        <v/>
      </c>
      <c r="O436" s="9" t="n"/>
      <c r="P436" s="10" t="n"/>
      <c r="Q436" s="11" t="n"/>
      <c r="R436" s="11" t="n"/>
      <c r="S436" s="11" t="n"/>
      <c r="T436" s="9" t="n"/>
      <c r="U436" s="9" t="n"/>
      <c r="V436" s="8">
        <f>IF(OR(N436="",N436="revisão manual",U436=""),"",IF(OR(AND(U436&gt;0,N436="ocorrência"),AND(U436=0,N436="sem ocorrência")),"OK","FALHA"))</f>
        <v/>
      </c>
      <c r="W436" s="9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8">
        <f>IF(F437="","",IF(F437="misto","revisão manual",IF(OR(F437="pausa_curta",F437="mascara_abaixada",G437="costas"),"sem ocorrência","ocorrência")))</f>
        <v/>
      </c>
      <c r="O437" s="9" t="n"/>
      <c r="P437" s="10" t="n"/>
      <c r="Q437" s="11" t="n"/>
      <c r="R437" s="11" t="n"/>
      <c r="S437" s="11" t="n"/>
      <c r="T437" s="9" t="n"/>
      <c r="U437" s="9" t="n"/>
      <c r="V437" s="8">
        <f>IF(OR(N437="",N437="revisão manual",U437=""),"",IF(OR(AND(U437&gt;0,N437="ocorrência"),AND(U437=0,N437="sem ocorrência")),"OK","FALHA"))</f>
        <v/>
      </c>
      <c r="W437" s="9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8">
        <f>IF(F438="","",IF(F438="misto","revisão manual",IF(OR(F438="pausa_curta",F438="mascara_abaixada",G438="costas"),"sem ocorrência","ocorrência")))</f>
        <v/>
      </c>
      <c r="O438" s="9" t="n"/>
      <c r="P438" s="10" t="n"/>
      <c r="Q438" s="11" t="n"/>
      <c r="R438" s="11" t="n"/>
      <c r="S438" s="11" t="n"/>
      <c r="T438" s="9" t="n"/>
      <c r="U438" s="9" t="n"/>
      <c r="V438" s="8">
        <f>IF(OR(N438="",N438="revisão manual",U438=""),"",IF(OR(AND(U438&gt;0,N438="ocorrência"),AND(U438=0,N438="sem ocorrência")),"OK","FALHA"))</f>
        <v/>
      </c>
      <c r="W438" s="9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8">
        <f>IF(F439="","",IF(F439="misto","revisão manual",IF(OR(F439="pausa_curta",F439="mascara_abaixada",G439="costas"),"sem ocorrência","ocorrência")))</f>
        <v/>
      </c>
      <c r="O439" s="9" t="n"/>
      <c r="P439" s="10" t="n"/>
      <c r="Q439" s="11" t="n"/>
      <c r="R439" s="11" t="n"/>
      <c r="S439" s="11" t="n"/>
      <c r="T439" s="9" t="n"/>
      <c r="U439" s="9" t="n"/>
      <c r="V439" s="8">
        <f>IF(OR(N439="",N439="revisão manual",U439=""),"",IF(OR(AND(U439&gt;0,N439="ocorrência"),AND(U439=0,N439="sem ocorrência")),"OK","FALHA"))</f>
        <v/>
      </c>
      <c r="W439" s="9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8">
        <f>IF(F440="","",IF(F440="misto","revisão manual",IF(OR(F440="pausa_curta",F440="mascara_abaixada",G440="costas"),"sem ocorrência","ocorrência")))</f>
        <v/>
      </c>
      <c r="O440" s="9" t="n"/>
      <c r="P440" s="10" t="n"/>
      <c r="Q440" s="11" t="n"/>
      <c r="R440" s="11" t="n"/>
      <c r="S440" s="11" t="n"/>
      <c r="T440" s="9" t="n"/>
      <c r="U440" s="9" t="n"/>
      <c r="V440" s="8">
        <f>IF(OR(N440="",N440="revisão manual",U440=""),"",IF(OR(AND(U440&gt;0,N440="ocorrência"),AND(U440=0,N440="sem ocorrência")),"OK","FALHA"))</f>
        <v/>
      </c>
      <c r="W440" s="9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8">
        <f>IF(F441="","",IF(F441="misto","revisão manual",IF(OR(F441="pausa_curta",F441="mascara_abaixada",G441="costas"),"sem ocorrência","ocorrência")))</f>
        <v/>
      </c>
      <c r="O441" s="9" t="n"/>
      <c r="P441" s="10" t="n"/>
      <c r="Q441" s="11" t="n"/>
      <c r="R441" s="11" t="n"/>
      <c r="S441" s="11" t="n"/>
      <c r="T441" s="9" t="n"/>
      <c r="U441" s="9" t="n"/>
      <c r="V441" s="8">
        <f>IF(OR(N441="",N441="revisão manual",U441=""),"",IF(OR(AND(U441&gt;0,N441="ocorrência"),AND(U441=0,N441="sem ocorrência")),"OK","FALHA"))</f>
        <v/>
      </c>
      <c r="W441" s="9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8">
        <f>IF(F442="","",IF(F442="misto","revisão manual",IF(OR(F442="pausa_curta",F442="mascara_abaixada",G442="costas"),"sem ocorrência","ocorrência")))</f>
        <v/>
      </c>
      <c r="O442" s="9" t="n"/>
      <c r="P442" s="10" t="n"/>
      <c r="Q442" s="11" t="n"/>
      <c r="R442" s="11" t="n"/>
      <c r="S442" s="11" t="n"/>
      <c r="T442" s="9" t="n"/>
      <c r="U442" s="9" t="n"/>
      <c r="V442" s="8">
        <f>IF(OR(N442="",N442="revisão manual",U442=""),"",IF(OR(AND(U442&gt;0,N442="ocorrência"),AND(U442=0,N442="sem ocorrência")),"OK","FALHA"))</f>
        <v/>
      </c>
      <c r="W442" s="9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8">
        <f>IF(F443="","",IF(F443="misto","revisão manual",IF(OR(F443="pausa_curta",F443="mascara_abaixada",G443="costas"),"sem ocorrência","ocorrência")))</f>
        <v/>
      </c>
      <c r="O443" s="9" t="n"/>
      <c r="P443" s="10" t="n"/>
      <c r="Q443" s="11" t="n"/>
      <c r="R443" s="11" t="n"/>
      <c r="S443" s="11" t="n"/>
      <c r="T443" s="9" t="n"/>
      <c r="U443" s="9" t="n"/>
      <c r="V443" s="8">
        <f>IF(OR(N443="",N443="revisão manual",U443=""),"",IF(OR(AND(U443&gt;0,N443="ocorrência"),AND(U443=0,N443="sem ocorrência")),"OK","FALHA"))</f>
        <v/>
      </c>
      <c r="W443" s="9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8">
        <f>IF(F444="","",IF(F444="misto","revisão manual",IF(OR(F444="pausa_curta",F444="mascara_abaixada",G444="costas"),"sem ocorrência","ocorrência")))</f>
        <v/>
      </c>
      <c r="O444" s="9" t="n"/>
      <c r="P444" s="10" t="n"/>
      <c r="Q444" s="11" t="n"/>
      <c r="R444" s="11" t="n"/>
      <c r="S444" s="11" t="n"/>
      <c r="T444" s="9" t="n"/>
      <c r="U444" s="9" t="n"/>
      <c r="V444" s="8">
        <f>IF(OR(N444="",N444="revisão manual",U444=""),"",IF(OR(AND(U444&gt;0,N444="ocorrência"),AND(U444=0,N444="sem ocorrência")),"OK","FALHA"))</f>
        <v/>
      </c>
      <c r="W444" s="9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8">
        <f>IF(F445="","",IF(F445="misto","revisão manual",IF(OR(F445="pausa_curta",F445="mascara_abaixada",G445="costas"),"sem ocorrência","ocorrência")))</f>
        <v/>
      </c>
      <c r="O445" s="9" t="n"/>
      <c r="P445" s="10" t="n"/>
      <c r="Q445" s="11" t="n"/>
      <c r="R445" s="11" t="n"/>
      <c r="S445" s="11" t="n"/>
      <c r="T445" s="9" t="n"/>
      <c r="U445" s="9" t="n"/>
      <c r="V445" s="8">
        <f>IF(OR(N445="",N445="revisão manual",U445=""),"",IF(OR(AND(U445&gt;0,N445="ocorrência"),AND(U445=0,N445="sem ocorrência")),"OK","FALHA"))</f>
        <v/>
      </c>
      <c r="W445" s="9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8">
        <f>IF(F446="","",IF(F446="misto","revisão manual",IF(OR(F446="pausa_curta",F446="mascara_abaixada",G446="costas"),"sem ocorrência","ocorrência")))</f>
        <v/>
      </c>
      <c r="O446" s="9" t="n"/>
      <c r="P446" s="10" t="n"/>
      <c r="Q446" s="11" t="n"/>
      <c r="R446" s="11" t="n"/>
      <c r="S446" s="11" t="n"/>
      <c r="T446" s="9" t="n"/>
      <c r="U446" s="9" t="n"/>
      <c r="V446" s="8">
        <f>IF(OR(N446="",N446="revisão manual",U446=""),"",IF(OR(AND(U446&gt;0,N446="ocorrência"),AND(U446=0,N446="sem ocorrência")),"OK","FALHA"))</f>
        <v/>
      </c>
      <c r="W446" s="9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8">
        <f>IF(F447="","",IF(F447="misto","revisão manual",IF(OR(F447="pausa_curta",F447="mascara_abaixada",G447="costas"),"sem ocorrência","ocorrência")))</f>
        <v/>
      </c>
      <c r="O447" s="9" t="n"/>
      <c r="P447" s="10" t="n"/>
      <c r="Q447" s="11" t="n"/>
      <c r="R447" s="11" t="n"/>
      <c r="S447" s="11" t="n"/>
      <c r="T447" s="9" t="n"/>
      <c r="U447" s="9" t="n"/>
      <c r="V447" s="8">
        <f>IF(OR(N447="",N447="revisão manual",U447=""),"",IF(OR(AND(U447&gt;0,N447="ocorrência"),AND(U447=0,N447="sem ocorrência")),"OK","FALHA"))</f>
        <v/>
      </c>
      <c r="W447" s="9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8">
        <f>IF(F448="","",IF(F448="misto","revisão manual",IF(OR(F448="pausa_curta",F448="mascara_abaixada",G448="costas"),"sem ocorrência","ocorrência")))</f>
        <v/>
      </c>
      <c r="O448" s="9" t="n"/>
      <c r="P448" s="10" t="n"/>
      <c r="Q448" s="11" t="n"/>
      <c r="R448" s="11" t="n"/>
      <c r="S448" s="11" t="n"/>
      <c r="T448" s="9" t="n"/>
      <c r="U448" s="9" t="n"/>
      <c r="V448" s="8">
        <f>IF(OR(N448="",N448="revisão manual",U448=""),"",IF(OR(AND(U448&gt;0,N448="ocorrência"),AND(U448=0,N448="sem ocorrência")),"OK","FALHA"))</f>
        <v/>
      </c>
      <c r="W448" s="9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8">
        <f>IF(F449="","",IF(F449="misto","revisão manual",IF(OR(F449="pausa_curta",F449="mascara_abaixada",G449="costas"),"sem ocorrência","ocorrência")))</f>
        <v/>
      </c>
      <c r="O449" s="9" t="n"/>
      <c r="P449" s="10" t="n"/>
      <c r="Q449" s="11" t="n"/>
      <c r="R449" s="11" t="n"/>
      <c r="S449" s="11" t="n"/>
      <c r="T449" s="9" t="n"/>
      <c r="U449" s="9" t="n"/>
      <c r="V449" s="8">
        <f>IF(OR(N449="",N449="revisão manual",U449=""),"",IF(OR(AND(U449&gt;0,N449="ocorrência"),AND(U449=0,N449="sem ocorrência")),"OK","FALHA"))</f>
        <v/>
      </c>
      <c r="W449" s="9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8">
        <f>IF(F450="","",IF(F450="misto","revisão manual",IF(OR(F450="pausa_curta",F450="mascara_abaixada",G450="costas"),"sem ocorrência","ocorrência")))</f>
        <v/>
      </c>
      <c r="O450" s="9" t="n"/>
      <c r="P450" s="10" t="n"/>
      <c r="Q450" s="11" t="n"/>
      <c r="R450" s="11" t="n"/>
      <c r="S450" s="11" t="n"/>
      <c r="T450" s="9" t="n"/>
      <c r="U450" s="9" t="n"/>
      <c r="V450" s="8">
        <f>IF(OR(N450="",N450="revisão manual",U450=""),"",IF(OR(AND(U450&gt;0,N450="ocorrência"),AND(U450=0,N450="sem ocorrência")),"OK","FALHA"))</f>
        <v/>
      </c>
      <c r="W450" s="9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8">
        <f>IF(F451="","",IF(F451="misto","revisão manual",IF(OR(F451="pausa_curta",F451="mascara_abaixada",G451="costas"),"sem ocorrência","ocorrência")))</f>
        <v/>
      </c>
      <c r="O451" s="9" t="n"/>
      <c r="P451" s="10" t="n"/>
      <c r="Q451" s="11" t="n"/>
      <c r="R451" s="11" t="n"/>
      <c r="S451" s="11" t="n"/>
      <c r="T451" s="9" t="n"/>
      <c r="U451" s="9" t="n"/>
      <c r="V451" s="8">
        <f>IF(OR(N451="",N451="revisão manual",U451=""),"",IF(OR(AND(U451&gt;0,N451="ocorrência"),AND(U451=0,N451="sem ocorrência")),"OK","FALHA"))</f>
        <v/>
      </c>
      <c r="W451" s="9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8">
        <f>IF(F452="","",IF(F452="misto","revisão manual",IF(OR(F452="pausa_curta",F452="mascara_abaixada",G452="costas"),"sem ocorrência","ocorrência")))</f>
        <v/>
      </c>
      <c r="O452" s="9" t="n"/>
      <c r="P452" s="10" t="n"/>
      <c r="Q452" s="11" t="n"/>
      <c r="R452" s="11" t="n"/>
      <c r="S452" s="11" t="n"/>
      <c r="T452" s="9" t="n"/>
      <c r="U452" s="9" t="n"/>
      <c r="V452" s="8">
        <f>IF(OR(N452="",N452="revisão manual",U452=""),"",IF(OR(AND(U452&gt;0,N452="ocorrência"),AND(U452=0,N452="sem ocorrência")),"OK","FALHA"))</f>
        <v/>
      </c>
      <c r="W452" s="9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8">
        <f>IF(F453="","",IF(F453="misto","revisão manual",IF(OR(F453="pausa_curta",F453="mascara_abaixada",G453="costas"),"sem ocorrência","ocorrência")))</f>
        <v/>
      </c>
      <c r="O453" s="9" t="n"/>
      <c r="P453" s="10" t="n"/>
      <c r="Q453" s="11" t="n"/>
      <c r="R453" s="11" t="n"/>
      <c r="S453" s="11" t="n"/>
      <c r="T453" s="9" t="n"/>
      <c r="U453" s="9" t="n"/>
      <c r="V453" s="8">
        <f>IF(OR(N453="",N453="revisão manual",U453=""),"",IF(OR(AND(U453&gt;0,N453="ocorrência"),AND(U453=0,N453="sem ocorrência")),"OK","FALHA"))</f>
        <v/>
      </c>
      <c r="W453" s="9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8">
        <f>IF(F454="","",IF(F454="misto","revisão manual",IF(OR(F454="pausa_curta",F454="mascara_abaixada",G454="costas"),"sem ocorrência","ocorrência")))</f>
        <v/>
      </c>
      <c r="O454" s="9" t="n"/>
      <c r="P454" s="10" t="n"/>
      <c r="Q454" s="11" t="n"/>
      <c r="R454" s="11" t="n"/>
      <c r="S454" s="11" t="n"/>
      <c r="T454" s="9" t="n"/>
      <c r="U454" s="9" t="n"/>
      <c r="V454" s="8">
        <f>IF(OR(N454="",N454="revisão manual",U454=""),"",IF(OR(AND(U454&gt;0,N454="ocorrência"),AND(U454=0,N454="sem ocorrência")),"OK","FALHA"))</f>
        <v/>
      </c>
      <c r="W454" s="9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8">
        <f>IF(F455="","",IF(F455="misto","revisão manual",IF(OR(F455="pausa_curta",F455="mascara_abaixada",G455="costas"),"sem ocorrência","ocorrência")))</f>
        <v/>
      </c>
      <c r="O455" s="9" t="n"/>
      <c r="P455" s="10" t="n"/>
      <c r="Q455" s="11" t="n"/>
      <c r="R455" s="11" t="n"/>
      <c r="S455" s="11" t="n"/>
      <c r="T455" s="9" t="n"/>
      <c r="U455" s="9" t="n"/>
      <c r="V455" s="8">
        <f>IF(OR(N455="",N455="revisão manual",U455=""),"",IF(OR(AND(U455&gt;0,N455="ocorrência"),AND(U455=0,N455="sem ocorrência")),"OK","FALHA"))</f>
        <v/>
      </c>
      <c r="W455" s="9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8">
        <f>IF(F456="","",IF(F456="misto","revisão manual",IF(OR(F456="pausa_curta",F456="mascara_abaixada",G456="costas"),"sem ocorrência","ocorrência")))</f>
        <v/>
      </c>
      <c r="O456" s="9" t="n"/>
      <c r="P456" s="10" t="n"/>
      <c r="Q456" s="11" t="n"/>
      <c r="R456" s="11" t="n"/>
      <c r="S456" s="11" t="n"/>
      <c r="T456" s="9" t="n"/>
      <c r="U456" s="9" t="n"/>
      <c r="V456" s="8">
        <f>IF(OR(N456="",N456="revisão manual",U456=""),"",IF(OR(AND(U456&gt;0,N456="ocorrência"),AND(U456=0,N456="sem ocorrência")),"OK","FALHA"))</f>
        <v/>
      </c>
      <c r="W456" s="9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8">
        <f>IF(F457="","",IF(F457="misto","revisão manual",IF(OR(F457="pausa_curta",F457="mascara_abaixada",G457="costas"),"sem ocorrência","ocorrência")))</f>
        <v/>
      </c>
      <c r="O457" s="9" t="n"/>
      <c r="P457" s="10" t="n"/>
      <c r="Q457" s="11" t="n"/>
      <c r="R457" s="11" t="n"/>
      <c r="S457" s="11" t="n"/>
      <c r="T457" s="9" t="n"/>
      <c r="U457" s="9" t="n"/>
      <c r="V457" s="8">
        <f>IF(OR(N457="",N457="revisão manual",U457=""),"",IF(OR(AND(U457&gt;0,N457="ocorrência"),AND(U457=0,N457="sem ocorrência")),"OK","FALHA"))</f>
        <v/>
      </c>
      <c r="W457" s="9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8">
        <f>IF(F458="","",IF(F458="misto","revisão manual",IF(OR(F458="pausa_curta",F458="mascara_abaixada",G458="costas"),"sem ocorrência","ocorrência")))</f>
        <v/>
      </c>
      <c r="O458" s="9" t="n"/>
      <c r="P458" s="10" t="n"/>
      <c r="Q458" s="11" t="n"/>
      <c r="R458" s="11" t="n"/>
      <c r="S458" s="11" t="n"/>
      <c r="T458" s="9" t="n"/>
      <c r="U458" s="9" t="n"/>
      <c r="V458" s="8">
        <f>IF(OR(N458="",N458="revisão manual",U458=""),"",IF(OR(AND(U458&gt;0,N458="ocorrência"),AND(U458=0,N458="sem ocorrência")),"OK","FALHA"))</f>
        <v/>
      </c>
      <c r="W458" s="9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8">
        <f>IF(F459="","",IF(F459="misto","revisão manual",IF(OR(F459="pausa_curta",F459="mascara_abaixada",G459="costas"),"sem ocorrência","ocorrência")))</f>
        <v/>
      </c>
      <c r="O459" s="9" t="n"/>
      <c r="P459" s="10" t="n"/>
      <c r="Q459" s="11" t="n"/>
      <c r="R459" s="11" t="n"/>
      <c r="S459" s="11" t="n"/>
      <c r="T459" s="9" t="n"/>
      <c r="U459" s="9" t="n"/>
      <c r="V459" s="8">
        <f>IF(OR(N459="",N459="revisão manual",U459=""),"",IF(OR(AND(U459&gt;0,N459="ocorrência"),AND(U459=0,N459="sem ocorrência")),"OK","FALHA"))</f>
        <v/>
      </c>
      <c r="W459" s="9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8">
        <f>IF(F460="","",IF(F460="misto","revisão manual",IF(OR(F460="pausa_curta",F460="mascara_abaixada",G460="costas"),"sem ocorrência","ocorrência")))</f>
        <v/>
      </c>
      <c r="O460" s="9" t="n"/>
      <c r="P460" s="10" t="n"/>
      <c r="Q460" s="11" t="n"/>
      <c r="R460" s="11" t="n"/>
      <c r="S460" s="11" t="n"/>
      <c r="T460" s="9" t="n"/>
      <c r="U460" s="9" t="n"/>
      <c r="V460" s="8">
        <f>IF(OR(N460="",N460="revisão manual",U460=""),"",IF(OR(AND(U460&gt;0,N460="ocorrência"),AND(U460=0,N460="sem ocorrência")),"OK","FALHA"))</f>
        <v/>
      </c>
      <c r="W460" s="9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8">
        <f>IF(F461="","",IF(F461="misto","revisão manual",IF(OR(F461="pausa_curta",F461="mascara_abaixada",G461="costas"),"sem ocorrência","ocorrência")))</f>
        <v/>
      </c>
      <c r="O461" s="9" t="n"/>
      <c r="P461" s="10" t="n"/>
      <c r="Q461" s="11" t="n"/>
      <c r="R461" s="11" t="n"/>
      <c r="S461" s="11" t="n"/>
      <c r="T461" s="9" t="n"/>
      <c r="U461" s="9" t="n"/>
      <c r="V461" s="8">
        <f>IF(OR(N461="",N461="revisão manual",U461=""),"",IF(OR(AND(U461&gt;0,N461="ocorrência"),AND(U461=0,N461="sem ocorrência")),"OK","FALHA"))</f>
        <v/>
      </c>
      <c r="W461" s="9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8">
        <f>IF(F462="","",IF(F462="misto","revisão manual",IF(OR(F462="pausa_curta",F462="mascara_abaixada",G462="costas"),"sem ocorrência","ocorrência")))</f>
        <v/>
      </c>
      <c r="O462" s="9" t="n"/>
      <c r="P462" s="10" t="n"/>
      <c r="Q462" s="11" t="n"/>
      <c r="R462" s="11" t="n"/>
      <c r="S462" s="11" t="n"/>
      <c r="T462" s="9" t="n"/>
      <c r="U462" s="9" t="n"/>
      <c r="V462" s="8">
        <f>IF(OR(N462="",N462="revisão manual",U462=""),"",IF(OR(AND(U462&gt;0,N462="ocorrência"),AND(U462=0,N462="sem ocorrência")),"OK","FALHA"))</f>
        <v/>
      </c>
      <c r="W462" s="9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8">
        <f>IF(F463="","",IF(F463="misto","revisão manual",IF(OR(F463="pausa_curta",F463="mascara_abaixada",G463="costas"),"sem ocorrência","ocorrência")))</f>
        <v/>
      </c>
      <c r="O463" s="9" t="n"/>
      <c r="P463" s="10" t="n"/>
      <c r="Q463" s="11" t="n"/>
      <c r="R463" s="11" t="n"/>
      <c r="S463" s="11" t="n"/>
      <c r="T463" s="9" t="n"/>
      <c r="U463" s="9" t="n"/>
      <c r="V463" s="8">
        <f>IF(OR(N463="",N463="revisão manual",U463=""),"",IF(OR(AND(U463&gt;0,N463="ocorrência"),AND(U463=0,N463="sem ocorrência")),"OK","FALHA"))</f>
        <v/>
      </c>
      <c r="W463" s="9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8">
        <f>IF(F464="","",IF(F464="misto","revisão manual",IF(OR(F464="pausa_curta",F464="mascara_abaixada",G464="costas"),"sem ocorrência","ocorrência")))</f>
        <v/>
      </c>
      <c r="O464" s="9" t="n"/>
      <c r="P464" s="10" t="n"/>
      <c r="Q464" s="11" t="n"/>
      <c r="R464" s="11" t="n"/>
      <c r="S464" s="11" t="n"/>
      <c r="T464" s="9" t="n"/>
      <c r="U464" s="9" t="n"/>
      <c r="V464" s="8">
        <f>IF(OR(N464="",N464="revisão manual",U464=""),"",IF(OR(AND(U464&gt;0,N464="ocorrência"),AND(U464=0,N464="sem ocorrência")),"OK","FALHA"))</f>
        <v/>
      </c>
      <c r="W464" s="9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8">
        <f>IF(F465="","",IF(F465="misto","revisão manual",IF(OR(F465="pausa_curta",F465="mascara_abaixada",G465="costas"),"sem ocorrência","ocorrência")))</f>
        <v/>
      </c>
      <c r="O465" s="9" t="n"/>
      <c r="P465" s="10" t="n"/>
      <c r="Q465" s="11" t="n"/>
      <c r="R465" s="11" t="n"/>
      <c r="S465" s="11" t="n"/>
      <c r="T465" s="9" t="n"/>
      <c r="U465" s="9" t="n"/>
      <c r="V465" s="8">
        <f>IF(OR(N465="",N465="revisão manual",U465=""),"",IF(OR(AND(U465&gt;0,N465="ocorrência"),AND(U465=0,N465="sem ocorrência")),"OK","FALHA"))</f>
        <v/>
      </c>
      <c r="W465" s="9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8">
        <f>IF(F466="","",IF(F466="misto","revisão manual",IF(OR(F466="pausa_curta",F466="mascara_abaixada",G466="costas"),"sem ocorrência","ocorrência")))</f>
        <v/>
      </c>
      <c r="O466" s="9" t="n"/>
      <c r="P466" s="10" t="n"/>
      <c r="Q466" s="11" t="n"/>
      <c r="R466" s="11" t="n"/>
      <c r="S466" s="11" t="n"/>
      <c r="T466" s="9" t="n"/>
      <c r="U466" s="9" t="n"/>
      <c r="V466" s="8">
        <f>IF(OR(N466="",N466="revisão manual",U466=""),"",IF(OR(AND(U466&gt;0,N466="ocorrência"),AND(U466=0,N466="sem ocorrência")),"OK","FALHA"))</f>
        <v/>
      </c>
      <c r="W466" s="9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8">
        <f>IF(F467="","",IF(F467="misto","revisão manual",IF(OR(F467="pausa_curta",F467="mascara_abaixada",G467="costas"),"sem ocorrência","ocorrência")))</f>
        <v/>
      </c>
      <c r="O467" s="9" t="n"/>
      <c r="P467" s="10" t="n"/>
      <c r="Q467" s="11" t="n"/>
      <c r="R467" s="11" t="n"/>
      <c r="S467" s="11" t="n"/>
      <c r="T467" s="9" t="n"/>
      <c r="U467" s="9" t="n"/>
      <c r="V467" s="8">
        <f>IF(OR(N467="",N467="revisão manual",U467=""),"",IF(OR(AND(U467&gt;0,N467="ocorrência"),AND(U467=0,N467="sem ocorrência")),"OK","FALHA"))</f>
        <v/>
      </c>
      <c r="W467" s="9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8">
        <f>IF(F468="","",IF(F468="misto","revisão manual",IF(OR(F468="pausa_curta",F468="mascara_abaixada",G468="costas"),"sem ocorrência","ocorrência")))</f>
        <v/>
      </c>
      <c r="O468" s="9" t="n"/>
      <c r="P468" s="10" t="n"/>
      <c r="Q468" s="11" t="n"/>
      <c r="R468" s="11" t="n"/>
      <c r="S468" s="11" t="n"/>
      <c r="T468" s="9" t="n"/>
      <c r="U468" s="9" t="n"/>
      <c r="V468" s="8">
        <f>IF(OR(N468="",N468="revisão manual",U468=""),"",IF(OR(AND(U468&gt;0,N468="ocorrência"),AND(U468=0,N468="sem ocorrência")),"OK","FALHA"))</f>
        <v/>
      </c>
      <c r="W468" s="9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8">
        <f>IF(F469="","",IF(F469="misto","revisão manual",IF(OR(F469="pausa_curta",F469="mascara_abaixada",G469="costas"),"sem ocorrência","ocorrência")))</f>
        <v/>
      </c>
      <c r="O469" s="9" t="n"/>
      <c r="P469" s="10" t="n"/>
      <c r="Q469" s="11" t="n"/>
      <c r="R469" s="11" t="n"/>
      <c r="S469" s="11" t="n"/>
      <c r="T469" s="9" t="n"/>
      <c r="U469" s="9" t="n"/>
      <c r="V469" s="8">
        <f>IF(OR(N469="",N469="revisão manual",U469=""),"",IF(OR(AND(U469&gt;0,N469="ocorrência"),AND(U469=0,N469="sem ocorrência")),"OK","FALHA"))</f>
        <v/>
      </c>
      <c r="W469" s="9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8">
        <f>IF(F470="","",IF(F470="misto","revisão manual",IF(OR(F470="pausa_curta",F470="mascara_abaixada",G470="costas"),"sem ocorrência","ocorrência")))</f>
        <v/>
      </c>
      <c r="O470" s="9" t="n"/>
      <c r="P470" s="10" t="n"/>
      <c r="Q470" s="11" t="n"/>
      <c r="R470" s="11" t="n"/>
      <c r="S470" s="11" t="n"/>
      <c r="T470" s="9" t="n"/>
      <c r="U470" s="9" t="n"/>
      <c r="V470" s="8">
        <f>IF(OR(N470="",N470="revisão manual",U470=""),"",IF(OR(AND(U470&gt;0,N470="ocorrência"),AND(U470=0,N470="sem ocorrência")),"OK","FALHA"))</f>
        <v/>
      </c>
      <c r="W470" s="9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8">
        <f>IF(F471="","",IF(F471="misto","revisão manual",IF(OR(F471="pausa_curta",F471="mascara_abaixada",G471="costas"),"sem ocorrência","ocorrência")))</f>
        <v/>
      </c>
      <c r="O471" s="9" t="n"/>
      <c r="P471" s="10" t="n"/>
      <c r="Q471" s="11" t="n"/>
      <c r="R471" s="11" t="n"/>
      <c r="S471" s="11" t="n"/>
      <c r="T471" s="9" t="n"/>
      <c r="U471" s="9" t="n"/>
      <c r="V471" s="8">
        <f>IF(OR(N471="",N471="revisão manual",U471=""),"",IF(OR(AND(U471&gt;0,N471="ocorrência"),AND(U471=0,N471="sem ocorrência")),"OK","FALHA"))</f>
        <v/>
      </c>
      <c r="W471" s="9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8">
        <f>IF(F472="","",IF(F472="misto","revisão manual",IF(OR(F472="pausa_curta",F472="mascara_abaixada",G472="costas"),"sem ocorrência","ocorrência")))</f>
        <v/>
      </c>
      <c r="O472" s="9" t="n"/>
      <c r="P472" s="10" t="n"/>
      <c r="Q472" s="11" t="n"/>
      <c r="R472" s="11" t="n"/>
      <c r="S472" s="11" t="n"/>
      <c r="T472" s="9" t="n"/>
      <c r="U472" s="9" t="n"/>
      <c r="V472" s="8">
        <f>IF(OR(N472="",N472="revisão manual",U472=""),"",IF(OR(AND(U472&gt;0,N472="ocorrência"),AND(U472=0,N472="sem ocorrência")),"OK","FALHA"))</f>
        <v/>
      </c>
      <c r="W472" s="9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8">
        <f>IF(F473="","",IF(F473="misto","revisão manual",IF(OR(F473="pausa_curta",F473="mascara_abaixada",G473="costas"),"sem ocorrência","ocorrência")))</f>
        <v/>
      </c>
      <c r="O473" s="9" t="n"/>
      <c r="P473" s="10" t="n"/>
      <c r="Q473" s="11" t="n"/>
      <c r="R473" s="11" t="n"/>
      <c r="S473" s="11" t="n"/>
      <c r="T473" s="9" t="n"/>
      <c r="U473" s="9" t="n"/>
      <c r="V473" s="8">
        <f>IF(OR(N473="",N473="revisão manual",U473=""),"",IF(OR(AND(U473&gt;0,N473="ocorrência"),AND(U473=0,N473="sem ocorrência")),"OK","FALHA"))</f>
        <v/>
      </c>
      <c r="W473" s="9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8">
        <f>IF(F474="","",IF(F474="misto","revisão manual",IF(OR(F474="pausa_curta",F474="mascara_abaixada",G474="costas"),"sem ocorrência","ocorrência")))</f>
        <v/>
      </c>
      <c r="O474" s="9" t="n"/>
      <c r="P474" s="10" t="n"/>
      <c r="Q474" s="11" t="n"/>
      <c r="R474" s="11" t="n"/>
      <c r="S474" s="11" t="n"/>
      <c r="T474" s="9" t="n"/>
      <c r="U474" s="9" t="n"/>
      <c r="V474" s="8">
        <f>IF(OR(N474="",N474="revisão manual",U474=""),"",IF(OR(AND(U474&gt;0,N474="ocorrência"),AND(U474=0,N474="sem ocorrência")),"OK","FALHA"))</f>
        <v/>
      </c>
      <c r="W474" s="9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8">
        <f>IF(F475="","",IF(F475="misto","revisão manual",IF(OR(F475="pausa_curta",F475="mascara_abaixada",G475="costas"),"sem ocorrência","ocorrência")))</f>
        <v/>
      </c>
      <c r="O475" s="9" t="n"/>
      <c r="P475" s="10" t="n"/>
      <c r="Q475" s="11" t="n"/>
      <c r="R475" s="11" t="n"/>
      <c r="S475" s="11" t="n"/>
      <c r="T475" s="9" t="n"/>
      <c r="U475" s="9" t="n"/>
      <c r="V475" s="8">
        <f>IF(OR(N475="",N475="revisão manual",U475=""),"",IF(OR(AND(U475&gt;0,N475="ocorrência"),AND(U475=0,N475="sem ocorrência")),"OK","FALHA"))</f>
        <v/>
      </c>
      <c r="W475" s="9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8">
        <f>IF(F476="","",IF(F476="misto","revisão manual",IF(OR(F476="pausa_curta",F476="mascara_abaixada",G476="costas"),"sem ocorrência","ocorrência")))</f>
        <v/>
      </c>
      <c r="O476" s="9" t="n"/>
      <c r="P476" s="10" t="n"/>
      <c r="Q476" s="11" t="n"/>
      <c r="R476" s="11" t="n"/>
      <c r="S476" s="11" t="n"/>
      <c r="T476" s="9" t="n"/>
      <c r="U476" s="9" t="n"/>
      <c r="V476" s="8">
        <f>IF(OR(N476="",N476="revisão manual",U476=""),"",IF(OR(AND(U476&gt;0,N476="ocorrência"),AND(U476=0,N476="sem ocorrência")),"OK","FALHA"))</f>
        <v/>
      </c>
      <c r="W476" s="9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8">
        <f>IF(F477="","",IF(F477="misto","revisão manual",IF(OR(F477="pausa_curta",F477="mascara_abaixada",G477="costas"),"sem ocorrência","ocorrência")))</f>
        <v/>
      </c>
      <c r="O477" s="9" t="n"/>
      <c r="P477" s="10" t="n"/>
      <c r="Q477" s="11" t="n"/>
      <c r="R477" s="11" t="n"/>
      <c r="S477" s="11" t="n"/>
      <c r="T477" s="9" t="n"/>
      <c r="U477" s="9" t="n"/>
      <c r="V477" s="8">
        <f>IF(OR(N477="",N477="revisão manual",U477=""),"",IF(OR(AND(U477&gt;0,N477="ocorrência"),AND(U477=0,N477="sem ocorrência")),"OK","FALHA"))</f>
        <v/>
      </c>
      <c r="W477" s="9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8">
        <f>IF(F478="","",IF(F478="misto","revisão manual",IF(OR(F478="pausa_curta",F478="mascara_abaixada",G478="costas"),"sem ocorrência","ocorrência")))</f>
        <v/>
      </c>
      <c r="O478" s="9" t="n"/>
      <c r="P478" s="10" t="n"/>
      <c r="Q478" s="11" t="n"/>
      <c r="R478" s="11" t="n"/>
      <c r="S478" s="11" t="n"/>
      <c r="T478" s="9" t="n"/>
      <c r="U478" s="9" t="n"/>
      <c r="V478" s="8">
        <f>IF(OR(N478="",N478="revisão manual",U478=""),"",IF(OR(AND(U478&gt;0,N478="ocorrência"),AND(U478=0,N478="sem ocorrência")),"OK","FALHA"))</f>
        <v/>
      </c>
      <c r="W478" s="9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8">
        <f>IF(F479="","",IF(F479="misto","revisão manual",IF(OR(F479="pausa_curta",F479="mascara_abaixada",G479="costas"),"sem ocorrência","ocorrência")))</f>
        <v/>
      </c>
      <c r="O479" s="9" t="n"/>
      <c r="P479" s="10" t="n"/>
      <c r="Q479" s="11" t="n"/>
      <c r="R479" s="11" t="n"/>
      <c r="S479" s="11" t="n"/>
      <c r="T479" s="9" t="n"/>
      <c r="U479" s="9" t="n"/>
      <c r="V479" s="8">
        <f>IF(OR(N479="",N479="revisão manual",U479=""),"",IF(OR(AND(U479&gt;0,N479="ocorrência"),AND(U479=0,N479="sem ocorrência")),"OK","FALHA"))</f>
        <v/>
      </c>
      <c r="W479" s="9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8">
        <f>IF(F480="","",IF(F480="misto","revisão manual",IF(OR(F480="pausa_curta",F480="mascara_abaixada",G480="costas"),"sem ocorrência","ocorrência")))</f>
        <v/>
      </c>
      <c r="O480" s="9" t="n"/>
      <c r="P480" s="10" t="n"/>
      <c r="Q480" s="11" t="n"/>
      <c r="R480" s="11" t="n"/>
      <c r="S480" s="11" t="n"/>
      <c r="T480" s="9" t="n"/>
      <c r="U480" s="9" t="n"/>
      <c r="V480" s="8">
        <f>IF(OR(N480="",N480="revisão manual",U480=""),"",IF(OR(AND(U480&gt;0,N480="ocorrência"),AND(U480=0,N480="sem ocorrência")),"OK","FALHA"))</f>
        <v/>
      </c>
      <c r="W480" s="9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8">
        <f>IF(F481="","",IF(F481="misto","revisão manual",IF(OR(F481="pausa_curta",F481="mascara_abaixada",G481="costas"),"sem ocorrência","ocorrência")))</f>
        <v/>
      </c>
      <c r="O481" s="9" t="n"/>
      <c r="P481" s="10" t="n"/>
      <c r="Q481" s="11" t="n"/>
      <c r="R481" s="11" t="n"/>
      <c r="S481" s="11" t="n"/>
      <c r="T481" s="9" t="n"/>
      <c r="U481" s="9" t="n"/>
      <c r="V481" s="8">
        <f>IF(OR(N481="",N481="revisão manual",U481=""),"",IF(OR(AND(U481&gt;0,N481="ocorrência"),AND(U481=0,N481="sem ocorrência")),"OK","FALHA"))</f>
        <v/>
      </c>
      <c r="W481" s="9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8">
        <f>IF(F482="","",IF(F482="misto","revisão manual",IF(OR(F482="pausa_curta",F482="mascara_abaixada",G482="costas"),"sem ocorrência","ocorrência")))</f>
        <v/>
      </c>
      <c r="O482" s="9" t="n"/>
      <c r="P482" s="10" t="n"/>
      <c r="Q482" s="11" t="n"/>
      <c r="R482" s="11" t="n"/>
      <c r="S482" s="11" t="n"/>
      <c r="T482" s="9" t="n"/>
      <c r="U482" s="9" t="n"/>
      <c r="V482" s="8">
        <f>IF(OR(N482="",N482="revisão manual",U482=""),"",IF(OR(AND(U482&gt;0,N482="ocorrência"),AND(U482=0,N482="sem ocorrência")),"OK","FALHA"))</f>
        <v/>
      </c>
      <c r="W482" s="9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8">
        <f>IF(F483="","",IF(F483="misto","revisão manual",IF(OR(F483="pausa_curta",F483="mascara_abaixada",G483="costas"),"sem ocorrência","ocorrência")))</f>
        <v/>
      </c>
      <c r="O483" s="9" t="n"/>
      <c r="P483" s="10" t="n"/>
      <c r="Q483" s="11" t="n"/>
      <c r="R483" s="11" t="n"/>
      <c r="S483" s="11" t="n"/>
      <c r="T483" s="9" t="n"/>
      <c r="U483" s="9" t="n"/>
      <c r="V483" s="8">
        <f>IF(OR(N483="",N483="revisão manual",U483=""),"",IF(OR(AND(U483&gt;0,N483="ocorrência"),AND(U483=0,N483="sem ocorrência")),"OK","FALHA"))</f>
        <v/>
      </c>
      <c r="W483" s="9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8">
        <f>IF(F484="","",IF(F484="misto","revisão manual",IF(OR(F484="pausa_curta",F484="mascara_abaixada",G484="costas"),"sem ocorrência","ocorrência")))</f>
        <v/>
      </c>
      <c r="O484" s="9" t="n"/>
      <c r="P484" s="10" t="n"/>
      <c r="Q484" s="11" t="n"/>
      <c r="R484" s="11" t="n"/>
      <c r="S484" s="11" t="n"/>
      <c r="T484" s="9" t="n"/>
      <c r="U484" s="9" t="n"/>
      <c r="V484" s="8">
        <f>IF(OR(N484="",N484="revisão manual",U484=""),"",IF(OR(AND(U484&gt;0,N484="ocorrência"),AND(U484=0,N484="sem ocorrência")),"OK","FALHA"))</f>
        <v/>
      </c>
      <c r="W484" s="9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8">
        <f>IF(F485="","",IF(F485="misto","revisão manual",IF(OR(F485="pausa_curta",F485="mascara_abaixada",G485="costas"),"sem ocorrência","ocorrência")))</f>
        <v/>
      </c>
      <c r="O485" s="9" t="n"/>
      <c r="P485" s="10" t="n"/>
      <c r="Q485" s="11" t="n"/>
      <c r="R485" s="11" t="n"/>
      <c r="S485" s="11" t="n"/>
      <c r="T485" s="9" t="n"/>
      <c r="U485" s="9" t="n"/>
      <c r="V485" s="8">
        <f>IF(OR(N485="",N485="revisão manual",U485=""),"",IF(OR(AND(U485&gt;0,N485="ocorrência"),AND(U485=0,N485="sem ocorrência")),"OK","FALHA"))</f>
        <v/>
      </c>
      <c r="W485" s="9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8">
        <f>IF(F486="","",IF(F486="misto","revisão manual",IF(OR(F486="pausa_curta",F486="mascara_abaixada",G486="costas"),"sem ocorrência","ocorrência")))</f>
        <v/>
      </c>
      <c r="O486" s="9" t="n"/>
      <c r="P486" s="10" t="n"/>
      <c r="Q486" s="11" t="n"/>
      <c r="R486" s="11" t="n"/>
      <c r="S486" s="11" t="n"/>
      <c r="T486" s="9" t="n"/>
      <c r="U486" s="9" t="n"/>
      <c r="V486" s="8">
        <f>IF(OR(N486="",N486="revisão manual",U486=""),"",IF(OR(AND(U486&gt;0,N486="ocorrência"),AND(U486=0,N486="sem ocorrência")),"OK","FALHA"))</f>
        <v/>
      </c>
      <c r="W486" s="9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8">
        <f>IF(F487="","",IF(F487="misto","revisão manual",IF(OR(F487="pausa_curta",F487="mascara_abaixada",G487="costas"),"sem ocorrência","ocorrência")))</f>
        <v/>
      </c>
      <c r="O487" s="9" t="n"/>
      <c r="P487" s="10" t="n"/>
      <c r="Q487" s="11" t="n"/>
      <c r="R487" s="11" t="n"/>
      <c r="S487" s="11" t="n"/>
      <c r="T487" s="9" t="n"/>
      <c r="U487" s="9" t="n"/>
      <c r="V487" s="8">
        <f>IF(OR(N487="",N487="revisão manual",U487=""),"",IF(OR(AND(U487&gt;0,N487="ocorrência"),AND(U487=0,N487="sem ocorrência")),"OK","FALHA"))</f>
        <v/>
      </c>
      <c r="W487" s="9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8">
        <f>IF(F488="","",IF(F488="misto","revisão manual",IF(OR(F488="pausa_curta",F488="mascara_abaixada",G488="costas"),"sem ocorrência","ocorrência")))</f>
        <v/>
      </c>
      <c r="O488" s="9" t="n"/>
      <c r="P488" s="10" t="n"/>
      <c r="Q488" s="11" t="n"/>
      <c r="R488" s="11" t="n"/>
      <c r="S488" s="11" t="n"/>
      <c r="T488" s="9" t="n"/>
      <c r="U488" s="9" t="n"/>
      <c r="V488" s="8">
        <f>IF(OR(N488="",N488="revisão manual",U488=""),"",IF(OR(AND(U488&gt;0,N488="ocorrência"),AND(U488=0,N488="sem ocorrência")),"OK","FALHA"))</f>
        <v/>
      </c>
      <c r="W488" s="9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8">
        <f>IF(F489="","",IF(F489="misto","revisão manual",IF(OR(F489="pausa_curta",F489="mascara_abaixada",G489="costas"),"sem ocorrência","ocorrência")))</f>
        <v/>
      </c>
      <c r="O489" s="9" t="n"/>
      <c r="P489" s="10" t="n"/>
      <c r="Q489" s="11" t="n"/>
      <c r="R489" s="11" t="n"/>
      <c r="S489" s="11" t="n"/>
      <c r="T489" s="9" t="n"/>
      <c r="U489" s="9" t="n"/>
      <c r="V489" s="8">
        <f>IF(OR(N489="",N489="revisão manual",U489=""),"",IF(OR(AND(U489&gt;0,N489="ocorrência"),AND(U489=0,N489="sem ocorrência")),"OK","FALHA"))</f>
        <v/>
      </c>
      <c r="W489" s="9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8">
        <f>IF(F490="","",IF(F490="misto","revisão manual",IF(OR(F490="pausa_curta",F490="mascara_abaixada",G490="costas"),"sem ocorrência","ocorrência")))</f>
        <v/>
      </c>
      <c r="O490" s="9" t="n"/>
      <c r="P490" s="10" t="n"/>
      <c r="Q490" s="11" t="n"/>
      <c r="R490" s="11" t="n"/>
      <c r="S490" s="11" t="n"/>
      <c r="T490" s="9" t="n"/>
      <c r="U490" s="9" t="n"/>
      <c r="V490" s="8">
        <f>IF(OR(N490="",N490="revisão manual",U490=""),"",IF(OR(AND(U490&gt;0,N490="ocorrência"),AND(U490=0,N490="sem ocorrência")),"OK","FALHA"))</f>
        <v/>
      </c>
      <c r="W490" s="9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8">
        <f>IF(F491="","",IF(F491="misto","revisão manual",IF(OR(F491="pausa_curta",F491="mascara_abaixada",G491="costas"),"sem ocorrência","ocorrência")))</f>
        <v/>
      </c>
      <c r="O491" s="9" t="n"/>
      <c r="P491" s="10" t="n"/>
      <c r="Q491" s="11" t="n"/>
      <c r="R491" s="11" t="n"/>
      <c r="S491" s="11" t="n"/>
      <c r="T491" s="9" t="n"/>
      <c r="U491" s="9" t="n"/>
      <c r="V491" s="8">
        <f>IF(OR(N491="",N491="revisão manual",U491=""),"",IF(OR(AND(U491&gt;0,N491="ocorrência"),AND(U491=0,N491="sem ocorrência")),"OK","FALHA"))</f>
        <v/>
      </c>
      <c r="W491" s="9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8">
        <f>IF(F492="","",IF(F492="misto","revisão manual",IF(OR(F492="pausa_curta",F492="mascara_abaixada",G492="costas"),"sem ocorrência","ocorrência")))</f>
        <v/>
      </c>
      <c r="O492" s="9" t="n"/>
      <c r="P492" s="10" t="n"/>
      <c r="Q492" s="11" t="n"/>
      <c r="R492" s="11" t="n"/>
      <c r="S492" s="11" t="n"/>
      <c r="T492" s="9" t="n"/>
      <c r="U492" s="9" t="n"/>
      <c r="V492" s="8">
        <f>IF(OR(N492="",N492="revisão manual",U492=""),"",IF(OR(AND(U492&gt;0,N492="ocorrência"),AND(U492=0,N492="sem ocorrência")),"OK","FALHA"))</f>
        <v/>
      </c>
      <c r="W492" s="9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8">
        <f>IF(F493="","",IF(F493="misto","revisão manual",IF(OR(F493="pausa_curta",F493="mascara_abaixada",G493="costas"),"sem ocorrência","ocorrência")))</f>
        <v/>
      </c>
      <c r="O493" s="9" t="n"/>
      <c r="P493" s="10" t="n"/>
      <c r="Q493" s="11" t="n"/>
      <c r="R493" s="11" t="n"/>
      <c r="S493" s="11" t="n"/>
      <c r="T493" s="9" t="n"/>
      <c r="U493" s="9" t="n"/>
      <c r="V493" s="8">
        <f>IF(OR(N493="",N493="revisão manual",U493=""),"",IF(OR(AND(U493&gt;0,N493="ocorrência"),AND(U493=0,N493="sem ocorrência")),"OK","FALHA"))</f>
        <v/>
      </c>
      <c r="W493" s="9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8">
        <f>IF(F494="","",IF(F494="misto","revisão manual",IF(OR(F494="pausa_curta",F494="mascara_abaixada",G494="costas"),"sem ocorrência","ocorrência")))</f>
        <v/>
      </c>
      <c r="O494" s="9" t="n"/>
      <c r="P494" s="10" t="n"/>
      <c r="Q494" s="11" t="n"/>
      <c r="R494" s="11" t="n"/>
      <c r="S494" s="11" t="n"/>
      <c r="T494" s="9" t="n"/>
      <c r="U494" s="9" t="n"/>
      <c r="V494" s="8">
        <f>IF(OR(N494="",N494="revisão manual",U494=""),"",IF(OR(AND(U494&gt;0,N494="ocorrência"),AND(U494=0,N494="sem ocorrência")),"OK","FALHA"))</f>
        <v/>
      </c>
      <c r="W494" s="9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8">
        <f>IF(F495="","",IF(F495="misto","revisão manual",IF(OR(F495="pausa_curta",F495="mascara_abaixada",G495="costas"),"sem ocorrência","ocorrência")))</f>
        <v/>
      </c>
      <c r="O495" s="9" t="n"/>
      <c r="P495" s="10" t="n"/>
      <c r="Q495" s="11" t="n"/>
      <c r="R495" s="11" t="n"/>
      <c r="S495" s="11" t="n"/>
      <c r="T495" s="9" t="n"/>
      <c r="U495" s="9" t="n"/>
      <c r="V495" s="8">
        <f>IF(OR(N495="",N495="revisão manual",U495=""),"",IF(OR(AND(U495&gt;0,N495="ocorrência"),AND(U495=0,N495="sem ocorrência")),"OK","FALHA"))</f>
        <v/>
      </c>
      <c r="W495" s="9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8">
        <f>IF(F496="","",IF(F496="misto","revisão manual",IF(OR(F496="pausa_curta",F496="mascara_abaixada",G496="costas"),"sem ocorrência","ocorrência")))</f>
        <v/>
      </c>
      <c r="O496" s="9" t="n"/>
      <c r="P496" s="10" t="n"/>
      <c r="Q496" s="11" t="n"/>
      <c r="R496" s="11" t="n"/>
      <c r="S496" s="11" t="n"/>
      <c r="T496" s="9" t="n"/>
      <c r="U496" s="9" t="n"/>
      <c r="V496" s="8">
        <f>IF(OR(N496="",N496="revisão manual",U496=""),"",IF(OR(AND(U496&gt;0,N496="ocorrência"),AND(U496=0,N496="sem ocorrência")),"OK","FALHA"))</f>
        <v/>
      </c>
      <c r="W496" s="9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8">
        <f>IF(F497="","",IF(F497="misto","revisão manual",IF(OR(F497="pausa_curta",F497="mascara_abaixada",G497="costas"),"sem ocorrência","ocorrência")))</f>
        <v/>
      </c>
      <c r="O497" s="9" t="n"/>
      <c r="P497" s="10" t="n"/>
      <c r="Q497" s="11" t="n"/>
      <c r="R497" s="11" t="n"/>
      <c r="S497" s="11" t="n"/>
      <c r="T497" s="9" t="n"/>
      <c r="U497" s="9" t="n"/>
      <c r="V497" s="8">
        <f>IF(OR(N497="",N497="revisão manual",U497=""),"",IF(OR(AND(U497&gt;0,N497="ocorrência"),AND(U497=0,N497="sem ocorrência")),"OK","FALHA"))</f>
        <v/>
      </c>
      <c r="W497" s="9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8">
        <f>IF(F498="","",IF(F498="misto","revisão manual",IF(OR(F498="pausa_curta",F498="mascara_abaixada",G498="costas"),"sem ocorrência","ocorrência")))</f>
        <v/>
      </c>
      <c r="O498" s="9" t="n"/>
      <c r="P498" s="10" t="n"/>
      <c r="Q498" s="11" t="n"/>
      <c r="R498" s="11" t="n"/>
      <c r="S498" s="11" t="n"/>
      <c r="T498" s="9" t="n"/>
      <c r="U498" s="9" t="n"/>
      <c r="V498" s="8">
        <f>IF(OR(N498="",N498="revisão manual",U498=""),"",IF(OR(AND(U498&gt;0,N498="ocorrência"),AND(U498=0,N498="sem ocorrência")),"OK","FALHA"))</f>
        <v/>
      </c>
      <c r="W498" s="9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8">
        <f>IF(F499="","",IF(F499="misto","revisão manual",IF(OR(F499="pausa_curta",F499="mascara_abaixada",G499="costas"),"sem ocorrência","ocorrência")))</f>
        <v/>
      </c>
      <c r="O499" s="9" t="n"/>
      <c r="P499" s="10" t="n"/>
      <c r="Q499" s="11" t="n"/>
      <c r="R499" s="11" t="n"/>
      <c r="S499" s="11" t="n"/>
      <c r="T499" s="9" t="n"/>
      <c r="U499" s="9" t="n"/>
      <c r="V499" s="8">
        <f>IF(OR(N499="",N499="revisão manual",U499=""),"",IF(OR(AND(U499&gt;0,N499="ocorrência"),AND(U499=0,N499="sem ocorrência")),"OK","FALHA"))</f>
        <v/>
      </c>
      <c r="W499" s="9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8">
        <f>IF(F500="","",IF(F500="misto","revisão manual",IF(OR(F500="pausa_curta",F500="mascara_abaixada",G500="costas"),"sem ocorrência","ocorrência")))</f>
        <v/>
      </c>
      <c r="O500" s="9" t="n"/>
      <c r="P500" s="10" t="n"/>
      <c r="Q500" s="11" t="n"/>
      <c r="R500" s="11" t="n"/>
      <c r="S500" s="11" t="n"/>
      <c r="T500" s="9" t="n"/>
      <c r="U500" s="9" t="n"/>
      <c r="V500" s="8">
        <f>IF(OR(N500="",N500="revisão manual",U500=""),"",IF(OR(AND(U500&gt;0,N500="ocorrência"),AND(U500=0,N500="sem ocorrência")),"OK","FALHA"))</f>
        <v/>
      </c>
      <c r="W500" s="9" t="n"/>
    </row>
  </sheetData>
  <dataValidations count="5">
    <dataValidation sqref="F2:F500" showDropDown="0" showInputMessage="0" showErrorMessage="0" allowBlank="1" error="Escolha um valor da lista." type="list">
      <formula1>"sem_mascara,mascara_levantada,mascara_abaixada,pausa_curta,misto"</formula1>
    </dataValidation>
    <dataValidation sqref="G2:G500" showDropDown="0" showInputMessage="0" showErrorMessage="0" allowBlank="1" error="Escolha um valor da lista." type="list">
      <formula1>"frente,perfil,costas,varia"</formula1>
    </dataValidation>
    <dataValidation sqref="I2:I500" showDropDown="0" showInputMessage="0" showErrorMessage="0" allowBlank="1" error="Escolha um valor da lista." type="list">
      <formula1>"apagado,aceso"</formula1>
    </dataValidation>
    <dataValidation sqref="J2:J500" showDropDown="0" showInputMessage="0" showErrorMessage="0" allowBlank="1" error="Escolha um valor da lista." type="list">
      <formula1>"nao,sim"</formula1>
    </dataValidation>
    <dataValidation sqref="L2:L500" showDropDown="0" showInputMessage="0" showErrorMessage="0" allowBlank="1" error="Escolha um valor da lista." type="list">
      <formula1>"webcam,celular,internet,laboratorio,marcopolo"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  <col width="8" customWidth="1" min="4" max="4"/>
    <col width="34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ID_teste</t>
        </is>
      </c>
      <c r="B1" s="4" t="inlineStr">
        <is>
          <t>arquivo</t>
        </is>
      </c>
      <c r="C1" s="4" t="inlineStr">
        <is>
          <t>tempo_video</t>
        </is>
      </c>
      <c r="D1" s="4" t="inlineStr">
        <is>
          <t>pessoa</t>
        </is>
      </c>
      <c r="E1" s="4" t="inlineStr">
        <is>
          <t>situacao_detectada</t>
        </is>
      </c>
      <c r="F1" s="4" t="inlineStr">
        <is>
          <t>esperado_no_teste</t>
        </is>
      </c>
      <c r="G1" s="4" t="inlineStr">
        <is>
          <t>classificacao_automatica</t>
        </is>
      </c>
      <c r="H1" s="4" t="inlineStr">
        <is>
          <t>revisao_manual</t>
        </is>
      </c>
      <c r="I1" s="4" t="inlineStr">
        <is>
          <t>classificacao_final</t>
        </is>
      </c>
    </row>
    <row r="2">
      <c r="A2" s="9" t="inlineStr">
        <is>
          <t>T01</t>
        </is>
      </c>
      <c r="B2" s="9" t="inlineStr">
        <is>
          <t>testes_campo/teste_sem_mascara.mp4</t>
        </is>
      </c>
      <c r="C2" s="9" t="inlineStr">
        <is>
          <t>00:00:03.8</t>
        </is>
      </c>
      <c r="D2" s="9" t="n">
        <v>1</v>
      </c>
      <c r="E2" s="9" t="inlineStr">
        <is>
          <t>mascara: rosto visível sem máscara</t>
        </is>
      </c>
      <c r="F2" s="8">
        <f>IF(A2="","",IFERROR(INDEX(Testes!$N$2:$N$500,MATCH(A2,Testes!$A$2:$A$500,0)),""))</f>
        <v/>
      </c>
      <c r="G2" s="8">
        <f>IF(F2="ocorrência","VP",IF(F2="sem ocorrência","FP",""))</f>
        <v/>
      </c>
      <c r="H2" s="7" t="n"/>
      <c r="I2" s="8">
        <f>IF(H2&lt;&gt;"",H2,G2)</f>
        <v/>
      </c>
    </row>
    <row r="3">
      <c r="A3" s="9" t="n"/>
      <c r="B3" s="9" t="n"/>
      <c r="C3" s="9" t="n"/>
      <c r="D3" s="9" t="n"/>
      <c r="E3" s="9" t="n"/>
      <c r="F3" s="8">
        <f>IF(A3="","",IFERROR(INDEX(Testes!$N$2:$N$500,MATCH(A3,Testes!$A$2:$A$500,0)),""))</f>
        <v/>
      </c>
      <c r="G3" s="8">
        <f>IF(F3="ocorrência","VP",IF(F3="sem ocorrência","FP",""))</f>
        <v/>
      </c>
      <c r="H3" s="7" t="n"/>
      <c r="I3" s="8">
        <f>IF(H3&lt;&gt;"",H3,G3)</f>
        <v/>
      </c>
    </row>
    <row r="4">
      <c r="A4" s="9" t="n"/>
      <c r="B4" s="9" t="n"/>
      <c r="C4" s="9" t="n"/>
      <c r="D4" s="9" t="n"/>
      <c r="E4" s="9" t="n"/>
      <c r="F4" s="8">
        <f>IF(A4="","",IFERROR(INDEX(Testes!$N$2:$N$500,MATCH(A4,Testes!$A$2:$A$500,0)),""))</f>
        <v/>
      </c>
      <c r="G4" s="8">
        <f>IF(F4="ocorrência","VP",IF(F4="sem ocorrência","FP",""))</f>
        <v/>
      </c>
      <c r="H4" s="7" t="n"/>
      <c r="I4" s="8">
        <f>IF(H4&lt;&gt;"",H4,G4)</f>
        <v/>
      </c>
    </row>
    <row r="5">
      <c r="A5" s="9" t="n"/>
      <c r="B5" s="9" t="n"/>
      <c r="C5" s="9" t="n"/>
      <c r="D5" s="9" t="n"/>
      <c r="E5" s="9" t="n"/>
      <c r="F5" s="8">
        <f>IF(A5="","",IFERROR(INDEX(Testes!$N$2:$N$500,MATCH(A5,Testes!$A$2:$A$500,0)),""))</f>
        <v/>
      </c>
      <c r="G5" s="8">
        <f>IF(F5="ocorrência","VP",IF(F5="sem ocorrência","FP",""))</f>
        <v/>
      </c>
      <c r="H5" s="7" t="n"/>
      <c r="I5" s="8">
        <f>IF(H5&lt;&gt;"",H5,G5)</f>
        <v/>
      </c>
    </row>
    <row r="6">
      <c r="A6" s="9" t="n"/>
      <c r="B6" s="9" t="n"/>
      <c r="C6" s="9" t="n"/>
      <c r="D6" s="9" t="n"/>
      <c r="E6" s="9" t="n"/>
      <c r="F6" s="8">
        <f>IF(A6="","",IFERROR(INDEX(Testes!$N$2:$N$500,MATCH(A6,Testes!$A$2:$A$500,0)),""))</f>
        <v/>
      </c>
      <c r="G6" s="8">
        <f>IF(F6="ocorrência","VP",IF(F6="sem ocorrência","FP",""))</f>
        <v/>
      </c>
      <c r="H6" s="7" t="n"/>
      <c r="I6" s="8">
        <f>IF(H6&lt;&gt;"",H6,G6)</f>
        <v/>
      </c>
    </row>
    <row r="7">
      <c r="A7" s="9" t="n"/>
      <c r="B7" s="9" t="n"/>
      <c r="C7" s="9" t="n"/>
      <c r="D7" s="9" t="n"/>
      <c r="E7" s="9" t="n"/>
      <c r="F7" s="8">
        <f>IF(A7="","",IFERROR(INDEX(Testes!$N$2:$N$500,MATCH(A7,Testes!$A$2:$A$500,0)),""))</f>
        <v/>
      </c>
      <c r="G7" s="8">
        <f>IF(F7="ocorrência","VP",IF(F7="sem ocorrência","FP",""))</f>
        <v/>
      </c>
      <c r="H7" s="7" t="n"/>
      <c r="I7" s="8">
        <f>IF(H7&lt;&gt;"",H7,G7)</f>
        <v/>
      </c>
    </row>
    <row r="8">
      <c r="A8" s="9" t="n"/>
      <c r="B8" s="9" t="n"/>
      <c r="C8" s="9" t="n"/>
      <c r="D8" s="9" t="n"/>
      <c r="E8" s="9" t="n"/>
      <c r="F8" s="8">
        <f>IF(A8="","",IFERROR(INDEX(Testes!$N$2:$N$500,MATCH(A8,Testes!$A$2:$A$500,0)),""))</f>
        <v/>
      </c>
      <c r="G8" s="8">
        <f>IF(F8="ocorrência","VP",IF(F8="sem ocorrência","FP",""))</f>
        <v/>
      </c>
      <c r="H8" s="7" t="n"/>
      <c r="I8" s="8">
        <f>IF(H8&lt;&gt;"",H8,G8)</f>
        <v/>
      </c>
    </row>
    <row r="9">
      <c r="A9" s="9" t="n"/>
      <c r="B9" s="9" t="n"/>
      <c r="C9" s="9" t="n"/>
      <c r="D9" s="9" t="n"/>
      <c r="E9" s="9" t="n"/>
      <c r="F9" s="8">
        <f>IF(A9="","",IFERROR(INDEX(Testes!$N$2:$N$500,MATCH(A9,Testes!$A$2:$A$500,0)),""))</f>
        <v/>
      </c>
      <c r="G9" s="8">
        <f>IF(F9="ocorrência","VP",IF(F9="sem ocorrência","FP",""))</f>
        <v/>
      </c>
      <c r="H9" s="7" t="n"/>
      <c r="I9" s="8">
        <f>IF(H9&lt;&gt;"",H9,G9)</f>
        <v/>
      </c>
    </row>
    <row r="10">
      <c r="A10" s="9" t="n"/>
      <c r="B10" s="9" t="n"/>
      <c r="C10" s="9" t="n"/>
      <c r="D10" s="9" t="n"/>
      <c r="E10" s="9" t="n"/>
      <c r="F10" s="8">
        <f>IF(A10="","",IFERROR(INDEX(Testes!$N$2:$N$500,MATCH(A10,Testes!$A$2:$A$500,0)),""))</f>
        <v/>
      </c>
      <c r="G10" s="8">
        <f>IF(F10="ocorrência","VP",IF(F10="sem ocorrência","FP",""))</f>
        <v/>
      </c>
      <c r="H10" s="7" t="n"/>
      <c r="I10" s="8">
        <f>IF(H10&lt;&gt;"",H10,G10)</f>
        <v/>
      </c>
    </row>
    <row r="11">
      <c r="A11" s="9" t="n"/>
      <c r="B11" s="9" t="n"/>
      <c r="C11" s="9" t="n"/>
      <c r="D11" s="9" t="n"/>
      <c r="E11" s="9" t="n"/>
      <c r="F11" s="8">
        <f>IF(A11="","",IFERROR(INDEX(Testes!$N$2:$N$500,MATCH(A11,Testes!$A$2:$A$500,0)),""))</f>
        <v/>
      </c>
      <c r="G11" s="8">
        <f>IF(F11="ocorrência","VP",IF(F11="sem ocorrência","FP",""))</f>
        <v/>
      </c>
      <c r="H11" s="7" t="n"/>
      <c r="I11" s="8">
        <f>IF(H11&lt;&gt;"",H11,G11)</f>
        <v/>
      </c>
    </row>
    <row r="12">
      <c r="A12" s="9" t="n"/>
      <c r="B12" s="9" t="n"/>
      <c r="C12" s="9" t="n"/>
      <c r="D12" s="9" t="n"/>
      <c r="E12" s="9" t="n"/>
      <c r="F12" s="8">
        <f>IF(A12="","",IFERROR(INDEX(Testes!$N$2:$N$500,MATCH(A12,Testes!$A$2:$A$500,0)),""))</f>
        <v/>
      </c>
      <c r="G12" s="8">
        <f>IF(F12="ocorrência","VP",IF(F12="sem ocorrência","FP",""))</f>
        <v/>
      </c>
      <c r="H12" s="7" t="n"/>
      <c r="I12" s="8">
        <f>IF(H12&lt;&gt;"",H12,G12)</f>
        <v/>
      </c>
    </row>
    <row r="13">
      <c r="A13" s="9" t="n"/>
      <c r="B13" s="9" t="n"/>
      <c r="C13" s="9" t="n"/>
      <c r="D13" s="9" t="n"/>
      <c r="E13" s="9" t="n"/>
      <c r="F13" s="8">
        <f>IF(A13="","",IFERROR(INDEX(Testes!$N$2:$N$500,MATCH(A13,Testes!$A$2:$A$500,0)),""))</f>
        <v/>
      </c>
      <c r="G13" s="8">
        <f>IF(F13="ocorrência","VP",IF(F13="sem ocorrência","FP",""))</f>
        <v/>
      </c>
      <c r="H13" s="7" t="n"/>
      <c r="I13" s="8">
        <f>IF(H13&lt;&gt;"",H13,G13)</f>
        <v/>
      </c>
    </row>
    <row r="14">
      <c r="A14" s="9" t="n"/>
      <c r="B14" s="9" t="n"/>
      <c r="C14" s="9" t="n"/>
      <c r="D14" s="9" t="n"/>
      <c r="E14" s="9" t="n"/>
      <c r="F14" s="8">
        <f>IF(A14="","",IFERROR(INDEX(Testes!$N$2:$N$500,MATCH(A14,Testes!$A$2:$A$500,0)),""))</f>
        <v/>
      </c>
      <c r="G14" s="8">
        <f>IF(F14="ocorrência","VP",IF(F14="sem ocorrência","FP",""))</f>
        <v/>
      </c>
      <c r="H14" s="7" t="n"/>
      <c r="I14" s="8">
        <f>IF(H14&lt;&gt;"",H14,G14)</f>
        <v/>
      </c>
    </row>
    <row r="15">
      <c r="A15" s="9" t="n"/>
      <c r="B15" s="9" t="n"/>
      <c r="C15" s="9" t="n"/>
      <c r="D15" s="9" t="n"/>
      <c r="E15" s="9" t="n"/>
      <c r="F15" s="8">
        <f>IF(A15="","",IFERROR(INDEX(Testes!$N$2:$N$500,MATCH(A15,Testes!$A$2:$A$500,0)),""))</f>
        <v/>
      </c>
      <c r="G15" s="8">
        <f>IF(F15="ocorrência","VP",IF(F15="sem ocorrência","FP",""))</f>
        <v/>
      </c>
      <c r="H15" s="7" t="n"/>
      <c r="I15" s="8">
        <f>IF(H15&lt;&gt;"",H15,G15)</f>
        <v/>
      </c>
    </row>
    <row r="16">
      <c r="A16" s="9" t="n"/>
      <c r="B16" s="9" t="n"/>
      <c r="C16" s="9" t="n"/>
      <c r="D16" s="9" t="n"/>
      <c r="E16" s="9" t="n"/>
      <c r="F16" s="8">
        <f>IF(A16="","",IFERROR(INDEX(Testes!$N$2:$N$500,MATCH(A16,Testes!$A$2:$A$500,0)),""))</f>
        <v/>
      </c>
      <c r="G16" s="8">
        <f>IF(F16="ocorrência","VP",IF(F16="sem ocorrência","FP",""))</f>
        <v/>
      </c>
      <c r="H16" s="7" t="n"/>
      <c r="I16" s="8">
        <f>IF(H16&lt;&gt;"",H16,G16)</f>
        <v/>
      </c>
    </row>
    <row r="17">
      <c r="A17" s="9" t="n"/>
      <c r="B17" s="9" t="n"/>
      <c r="C17" s="9" t="n"/>
      <c r="D17" s="9" t="n"/>
      <c r="E17" s="9" t="n"/>
      <c r="F17" s="8">
        <f>IF(A17="","",IFERROR(INDEX(Testes!$N$2:$N$500,MATCH(A17,Testes!$A$2:$A$500,0)),""))</f>
        <v/>
      </c>
      <c r="G17" s="8">
        <f>IF(F17="ocorrência","VP",IF(F17="sem ocorrência","FP",""))</f>
        <v/>
      </c>
      <c r="H17" s="7" t="n"/>
      <c r="I17" s="8">
        <f>IF(H17&lt;&gt;"",H17,G17)</f>
        <v/>
      </c>
    </row>
    <row r="18">
      <c r="A18" s="9" t="n"/>
      <c r="B18" s="9" t="n"/>
      <c r="C18" s="9" t="n"/>
      <c r="D18" s="9" t="n"/>
      <c r="E18" s="9" t="n"/>
      <c r="F18" s="8">
        <f>IF(A18="","",IFERROR(INDEX(Testes!$N$2:$N$500,MATCH(A18,Testes!$A$2:$A$500,0)),""))</f>
        <v/>
      </c>
      <c r="G18" s="8">
        <f>IF(F18="ocorrência","VP",IF(F18="sem ocorrência","FP",""))</f>
        <v/>
      </c>
      <c r="H18" s="7" t="n"/>
      <c r="I18" s="8">
        <f>IF(H18&lt;&gt;"",H18,G18)</f>
        <v/>
      </c>
    </row>
    <row r="19">
      <c r="A19" s="9" t="n"/>
      <c r="B19" s="9" t="n"/>
      <c r="C19" s="9" t="n"/>
      <c r="D19" s="9" t="n"/>
      <c r="E19" s="9" t="n"/>
      <c r="F19" s="8">
        <f>IF(A19="","",IFERROR(INDEX(Testes!$N$2:$N$500,MATCH(A19,Testes!$A$2:$A$500,0)),""))</f>
        <v/>
      </c>
      <c r="G19" s="8">
        <f>IF(F19="ocorrência","VP",IF(F19="sem ocorrência","FP",""))</f>
        <v/>
      </c>
      <c r="H19" s="7" t="n"/>
      <c r="I19" s="8">
        <f>IF(H19&lt;&gt;"",H19,G19)</f>
        <v/>
      </c>
    </row>
    <row r="20">
      <c r="A20" s="9" t="n"/>
      <c r="B20" s="9" t="n"/>
      <c r="C20" s="9" t="n"/>
      <c r="D20" s="9" t="n"/>
      <c r="E20" s="9" t="n"/>
      <c r="F20" s="8">
        <f>IF(A20="","",IFERROR(INDEX(Testes!$N$2:$N$500,MATCH(A20,Testes!$A$2:$A$500,0)),""))</f>
        <v/>
      </c>
      <c r="G20" s="8">
        <f>IF(F20="ocorrência","VP",IF(F20="sem ocorrência","FP",""))</f>
        <v/>
      </c>
      <c r="H20" s="7" t="n"/>
      <c r="I20" s="8">
        <f>IF(H20&lt;&gt;"",H20,G20)</f>
        <v/>
      </c>
    </row>
    <row r="21">
      <c r="A21" s="9" t="n"/>
      <c r="B21" s="9" t="n"/>
      <c r="C21" s="9" t="n"/>
      <c r="D21" s="9" t="n"/>
      <c r="E21" s="9" t="n"/>
      <c r="F21" s="8">
        <f>IF(A21="","",IFERROR(INDEX(Testes!$N$2:$N$500,MATCH(A21,Testes!$A$2:$A$500,0)),""))</f>
        <v/>
      </c>
      <c r="G21" s="8">
        <f>IF(F21="ocorrência","VP",IF(F21="sem ocorrência","FP",""))</f>
        <v/>
      </c>
      <c r="H21" s="7" t="n"/>
      <c r="I21" s="8">
        <f>IF(H21&lt;&gt;"",H21,G21)</f>
        <v/>
      </c>
    </row>
    <row r="22">
      <c r="A22" s="9" t="n"/>
      <c r="B22" s="9" t="n"/>
      <c r="C22" s="9" t="n"/>
      <c r="D22" s="9" t="n"/>
      <c r="E22" s="9" t="n"/>
      <c r="F22" s="8">
        <f>IF(A22="","",IFERROR(INDEX(Testes!$N$2:$N$500,MATCH(A22,Testes!$A$2:$A$500,0)),""))</f>
        <v/>
      </c>
      <c r="G22" s="8">
        <f>IF(F22="ocorrência","VP",IF(F22="sem ocorrência","FP",""))</f>
        <v/>
      </c>
      <c r="H22" s="7" t="n"/>
      <c r="I22" s="8">
        <f>IF(H22&lt;&gt;"",H22,G22)</f>
        <v/>
      </c>
    </row>
    <row r="23">
      <c r="A23" s="9" t="n"/>
      <c r="B23" s="9" t="n"/>
      <c r="C23" s="9" t="n"/>
      <c r="D23" s="9" t="n"/>
      <c r="E23" s="9" t="n"/>
      <c r="F23" s="8">
        <f>IF(A23="","",IFERROR(INDEX(Testes!$N$2:$N$500,MATCH(A23,Testes!$A$2:$A$500,0)),""))</f>
        <v/>
      </c>
      <c r="G23" s="8">
        <f>IF(F23="ocorrência","VP",IF(F23="sem ocorrência","FP",""))</f>
        <v/>
      </c>
      <c r="H23" s="7" t="n"/>
      <c r="I23" s="8">
        <f>IF(H23&lt;&gt;"",H23,G23)</f>
        <v/>
      </c>
    </row>
    <row r="24">
      <c r="A24" s="9" t="n"/>
      <c r="B24" s="9" t="n"/>
      <c r="C24" s="9" t="n"/>
      <c r="D24" s="9" t="n"/>
      <c r="E24" s="9" t="n"/>
      <c r="F24" s="8">
        <f>IF(A24="","",IFERROR(INDEX(Testes!$N$2:$N$500,MATCH(A24,Testes!$A$2:$A$500,0)),""))</f>
        <v/>
      </c>
      <c r="G24" s="8">
        <f>IF(F24="ocorrência","VP",IF(F24="sem ocorrência","FP",""))</f>
        <v/>
      </c>
      <c r="H24" s="7" t="n"/>
      <c r="I24" s="8">
        <f>IF(H24&lt;&gt;"",H24,G24)</f>
        <v/>
      </c>
    </row>
    <row r="25">
      <c r="A25" s="9" t="n"/>
      <c r="B25" s="9" t="n"/>
      <c r="C25" s="9" t="n"/>
      <c r="D25" s="9" t="n"/>
      <c r="E25" s="9" t="n"/>
      <c r="F25" s="8">
        <f>IF(A25="","",IFERROR(INDEX(Testes!$N$2:$N$500,MATCH(A25,Testes!$A$2:$A$500,0)),""))</f>
        <v/>
      </c>
      <c r="G25" s="8">
        <f>IF(F25="ocorrência","VP",IF(F25="sem ocorrência","FP",""))</f>
        <v/>
      </c>
      <c r="H25" s="7" t="n"/>
      <c r="I25" s="8">
        <f>IF(H25&lt;&gt;"",H25,G25)</f>
        <v/>
      </c>
    </row>
    <row r="26">
      <c r="A26" s="9" t="n"/>
      <c r="B26" s="9" t="n"/>
      <c r="C26" s="9" t="n"/>
      <c r="D26" s="9" t="n"/>
      <c r="E26" s="9" t="n"/>
      <c r="F26" s="8">
        <f>IF(A26="","",IFERROR(INDEX(Testes!$N$2:$N$500,MATCH(A26,Testes!$A$2:$A$500,0)),""))</f>
        <v/>
      </c>
      <c r="G26" s="8">
        <f>IF(F26="ocorrência","VP",IF(F26="sem ocorrência","FP",""))</f>
        <v/>
      </c>
      <c r="H26" s="7" t="n"/>
      <c r="I26" s="8">
        <f>IF(H26&lt;&gt;"",H26,G26)</f>
        <v/>
      </c>
    </row>
    <row r="27">
      <c r="A27" s="9" t="n"/>
      <c r="B27" s="9" t="n"/>
      <c r="C27" s="9" t="n"/>
      <c r="D27" s="9" t="n"/>
      <c r="E27" s="9" t="n"/>
      <c r="F27" s="8">
        <f>IF(A27="","",IFERROR(INDEX(Testes!$N$2:$N$500,MATCH(A27,Testes!$A$2:$A$500,0)),""))</f>
        <v/>
      </c>
      <c r="G27" s="8">
        <f>IF(F27="ocorrência","VP",IF(F27="sem ocorrência","FP",""))</f>
        <v/>
      </c>
      <c r="H27" s="7" t="n"/>
      <c r="I27" s="8">
        <f>IF(H27&lt;&gt;"",H27,G27)</f>
        <v/>
      </c>
    </row>
    <row r="28">
      <c r="A28" s="9" t="n"/>
      <c r="B28" s="9" t="n"/>
      <c r="C28" s="9" t="n"/>
      <c r="D28" s="9" t="n"/>
      <c r="E28" s="9" t="n"/>
      <c r="F28" s="8">
        <f>IF(A28="","",IFERROR(INDEX(Testes!$N$2:$N$500,MATCH(A28,Testes!$A$2:$A$500,0)),""))</f>
        <v/>
      </c>
      <c r="G28" s="8">
        <f>IF(F28="ocorrência","VP",IF(F28="sem ocorrência","FP",""))</f>
        <v/>
      </c>
      <c r="H28" s="7" t="n"/>
      <c r="I28" s="8">
        <f>IF(H28&lt;&gt;"",H28,G28)</f>
        <v/>
      </c>
    </row>
    <row r="29">
      <c r="A29" s="9" t="n"/>
      <c r="B29" s="9" t="n"/>
      <c r="C29" s="9" t="n"/>
      <c r="D29" s="9" t="n"/>
      <c r="E29" s="9" t="n"/>
      <c r="F29" s="8">
        <f>IF(A29="","",IFERROR(INDEX(Testes!$N$2:$N$500,MATCH(A29,Testes!$A$2:$A$500,0)),""))</f>
        <v/>
      </c>
      <c r="G29" s="8">
        <f>IF(F29="ocorrência","VP",IF(F29="sem ocorrência","FP",""))</f>
        <v/>
      </c>
      <c r="H29" s="7" t="n"/>
      <c r="I29" s="8">
        <f>IF(H29&lt;&gt;"",H29,G29)</f>
        <v/>
      </c>
    </row>
    <row r="30">
      <c r="A30" s="9" t="n"/>
      <c r="B30" s="9" t="n"/>
      <c r="C30" s="9" t="n"/>
      <c r="D30" s="9" t="n"/>
      <c r="E30" s="9" t="n"/>
      <c r="F30" s="8">
        <f>IF(A30="","",IFERROR(INDEX(Testes!$N$2:$N$500,MATCH(A30,Testes!$A$2:$A$500,0)),""))</f>
        <v/>
      </c>
      <c r="G30" s="8">
        <f>IF(F30="ocorrência","VP",IF(F30="sem ocorrência","FP",""))</f>
        <v/>
      </c>
      <c r="H30" s="7" t="n"/>
      <c r="I30" s="8">
        <f>IF(H30&lt;&gt;"",H30,G30)</f>
        <v/>
      </c>
    </row>
    <row r="31">
      <c r="A31" s="9" t="n"/>
      <c r="B31" s="9" t="n"/>
      <c r="C31" s="9" t="n"/>
      <c r="D31" s="9" t="n"/>
      <c r="E31" s="9" t="n"/>
      <c r="F31" s="8">
        <f>IF(A31="","",IFERROR(INDEX(Testes!$N$2:$N$500,MATCH(A31,Testes!$A$2:$A$500,0)),""))</f>
        <v/>
      </c>
      <c r="G31" s="8">
        <f>IF(F31="ocorrência","VP",IF(F31="sem ocorrência","FP",""))</f>
        <v/>
      </c>
      <c r="H31" s="7" t="n"/>
      <c r="I31" s="8">
        <f>IF(H31&lt;&gt;"",H31,G31)</f>
        <v/>
      </c>
    </row>
    <row r="32">
      <c r="A32" s="9" t="n"/>
      <c r="B32" s="9" t="n"/>
      <c r="C32" s="9" t="n"/>
      <c r="D32" s="9" t="n"/>
      <c r="E32" s="9" t="n"/>
      <c r="F32" s="8">
        <f>IF(A32="","",IFERROR(INDEX(Testes!$N$2:$N$500,MATCH(A32,Testes!$A$2:$A$500,0)),""))</f>
        <v/>
      </c>
      <c r="G32" s="8">
        <f>IF(F32="ocorrência","VP",IF(F32="sem ocorrência","FP",""))</f>
        <v/>
      </c>
      <c r="H32" s="7" t="n"/>
      <c r="I32" s="8">
        <f>IF(H32&lt;&gt;"",H32,G32)</f>
        <v/>
      </c>
    </row>
    <row r="33">
      <c r="A33" s="9" t="n"/>
      <c r="B33" s="9" t="n"/>
      <c r="C33" s="9" t="n"/>
      <c r="D33" s="9" t="n"/>
      <c r="E33" s="9" t="n"/>
      <c r="F33" s="8">
        <f>IF(A33="","",IFERROR(INDEX(Testes!$N$2:$N$500,MATCH(A33,Testes!$A$2:$A$500,0)),""))</f>
        <v/>
      </c>
      <c r="G33" s="8">
        <f>IF(F33="ocorrência","VP",IF(F33="sem ocorrência","FP",""))</f>
        <v/>
      </c>
      <c r="H33" s="7" t="n"/>
      <c r="I33" s="8">
        <f>IF(H33&lt;&gt;"",H33,G33)</f>
        <v/>
      </c>
    </row>
    <row r="34">
      <c r="A34" s="9" t="n"/>
      <c r="B34" s="9" t="n"/>
      <c r="C34" s="9" t="n"/>
      <c r="D34" s="9" t="n"/>
      <c r="E34" s="9" t="n"/>
      <c r="F34" s="8">
        <f>IF(A34="","",IFERROR(INDEX(Testes!$N$2:$N$500,MATCH(A34,Testes!$A$2:$A$500,0)),""))</f>
        <v/>
      </c>
      <c r="G34" s="8">
        <f>IF(F34="ocorrência","VP",IF(F34="sem ocorrência","FP",""))</f>
        <v/>
      </c>
      <c r="H34" s="7" t="n"/>
      <c r="I34" s="8">
        <f>IF(H34&lt;&gt;"",H34,G34)</f>
        <v/>
      </c>
    </row>
    <row r="35">
      <c r="A35" s="9" t="n"/>
      <c r="B35" s="9" t="n"/>
      <c r="C35" s="9" t="n"/>
      <c r="D35" s="9" t="n"/>
      <c r="E35" s="9" t="n"/>
      <c r="F35" s="8">
        <f>IF(A35="","",IFERROR(INDEX(Testes!$N$2:$N$500,MATCH(A35,Testes!$A$2:$A$500,0)),""))</f>
        <v/>
      </c>
      <c r="G35" s="8">
        <f>IF(F35="ocorrência","VP",IF(F35="sem ocorrência","FP",""))</f>
        <v/>
      </c>
      <c r="H35" s="7" t="n"/>
      <c r="I35" s="8">
        <f>IF(H35&lt;&gt;"",H35,G35)</f>
        <v/>
      </c>
    </row>
    <row r="36">
      <c r="A36" s="9" t="n"/>
      <c r="B36" s="9" t="n"/>
      <c r="C36" s="9" t="n"/>
      <c r="D36" s="9" t="n"/>
      <c r="E36" s="9" t="n"/>
      <c r="F36" s="8">
        <f>IF(A36="","",IFERROR(INDEX(Testes!$N$2:$N$500,MATCH(A36,Testes!$A$2:$A$500,0)),""))</f>
        <v/>
      </c>
      <c r="G36" s="8">
        <f>IF(F36="ocorrência","VP",IF(F36="sem ocorrência","FP",""))</f>
        <v/>
      </c>
      <c r="H36" s="7" t="n"/>
      <c r="I36" s="8">
        <f>IF(H36&lt;&gt;"",H36,G36)</f>
        <v/>
      </c>
    </row>
    <row r="37">
      <c r="A37" s="9" t="n"/>
      <c r="B37" s="9" t="n"/>
      <c r="C37" s="9" t="n"/>
      <c r="D37" s="9" t="n"/>
      <c r="E37" s="9" t="n"/>
      <c r="F37" s="8">
        <f>IF(A37="","",IFERROR(INDEX(Testes!$N$2:$N$500,MATCH(A37,Testes!$A$2:$A$500,0)),""))</f>
        <v/>
      </c>
      <c r="G37" s="8">
        <f>IF(F37="ocorrência","VP",IF(F37="sem ocorrência","FP",""))</f>
        <v/>
      </c>
      <c r="H37" s="7" t="n"/>
      <c r="I37" s="8">
        <f>IF(H37&lt;&gt;"",H37,G37)</f>
        <v/>
      </c>
    </row>
    <row r="38">
      <c r="A38" s="9" t="n"/>
      <c r="B38" s="9" t="n"/>
      <c r="C38" s="9" t="n"/>
      <c r="D38" s="9" t="n"/>
      <c r="E38" s="9" t="n"/>
      <c r="F38" s="8">
        <f>IF(A38="","",IFERROR(INDEX(Testes!$N$2:$N$500,MATCH(A38,Testes!$A$2:$A$500,0)),""))</f>
        <v/>
      </c>
      <c r="G38" s="8">
        <f>IF(F38="ocorrência","VP",IF(F38="sem ocorrência","FP",""))</f>
        <v/>
      </c>
      <c r="H38" s="7" t="n"/>
      <c r="I38" s="8">
        <f>IF(H38&lt;&gt;"",H38,G38)</f>
        <v/>
      </c>
    </row>
    <row r="39">
      <c r="A39" s="9" t="n"/>
      <c r="B39" s="9" t="n"/>
      <c r="C39" s="9" t="n"/>
      <c r="D39" s="9" t="n"/>
      <c r="E39" s="9" t="n"/>
      <c r="F39" s="8">
        <f>IF(A39="","",IFERROR(INDEX(Testes!$N$2:$N$500,MATCH(A39,Testes!$A$2:$A$500,0)),""))</f>
        <v/>
      </c>
      <c r="G39" s="8">
        <f>IF(F39="ocorrência","VP",IF(F39="sem ocorrência","FP",""))</f>
        <v/>
      </c>
      <c r="H39" s="7" t="n"/>
      <c r="I39" s="8">
        <f>IF(H39&lt;&gt;"",H39,G39)</f>
        <v/>
      </c>
    </row>
    <row r="40">
      <c r="A40" s="9" t="n"/>
      <c r="B40" s="9" t="n"/>
      <c r="C40" s="9" t="n"/>
      <c r="D40" s="9" t="n"/>
      <c r="E40" s="9" t="n"/>
      <c r="F40" s="8">
        <f>IF(A40="","",IFERROR(INDEX(Testes!$N$2:$N$500,MATCH(A40,Testes!$A$2:$A$500,0)),""))</f>
        <v/>
      </c>
      <c r="G40" s="8">
        <f>IF(F40="ocorrência","VP",IF(F40="sem ocorrência","FP",""))</f>
        <v/>
      </c>
      <c r="H40" s="7" t="n"/>
      <c r="I40" s="8">
        <f>IF(H40&lt;&gt;"",H40,G40)</f>
        <v/>
      </c>
    </row>
    <row r="41">
      <c r="A41" s="9" t="n"/>
      <c r="B41" s="9" t="n"/>
      <c r="C41" s="9" t="n"/>
      <c r="D41" s="9" t="n"/>
      <c r="E41" s="9" t="n"/>
      <c r="F41" s="8">
        <f>IF(A41="","",IFERROR(INDEX(Testes!$N$2:$N$500,MATCH(A41,Testes!$A$2:$A$500,0)),""))</f>
        <v/>
      </c>
      <c r="G41" s="8">
        <f>IF(F41="ocorrência","VP",IF(F41="sem ocorrência","FP",""))</f>
        <v/>
      </c>
      <c r="H41" s="7" t="n"/>
      <c r="I41" s="8">
        <f>IF(H41&lt;&gt;"",H41,G41)</f>
        <v/>
      </c>
    </row>
    <row r="42">
      <c r="A42" s="9" t="n"/>
      <c r="B42" s="9" t="n"/>
      <c r="C42" s="9" t="n"/>
      <c r="D42" s="9" t="n"/>
      <c r="E42" s="9" t="n"/>
      <c r="F42" s="8">
        <f>IF(A42="","",IFERROR(INDEX(Testes!$N$2:$N$500,MATCH(A42,Testes!$A$2:$A$500,0)),""))</f>
        <v/>
      </c>
      <c r="G42" s="8">
        <f>IF(F42="ocorrência","VP",IF(F42="sem ocorrência","FP",""))</f>
        <v/>
      </c>
      <c r="H42" s="7" t="n"/>
      <c r="I42" s="8">
        <f>IF(H42&lt;&gt;"",H42,G42)</f>
        <v/>
      </c>
    </row>
    <row r="43">
      <c r="A43" s="9" t="n"/>
      <c r="B43" s="9" t="n"/>
      <c r="C43" s="9" t="n"/>
      <c r="D43" s="9" t="n"/>
      <c r="E43" s="9" t="n"/>
      <c r="F43" s="8">
        <f>IF(A43="","",IFERROR(INDEX(Testes!$N$2:$N$500,MATCH(A43,Testes!$A$2:$A$500,0)),""))</f>
        <v/>
      </c>
      <c r="G43" s="8">
        <f>IF(F43="ocorrência","VP",IF(F43="sem ocorrência","FP",""))</f>
        <v/>
      </c>
      <c r="H43" s="7" t="n"/>
      <c r="I43" s="8">
        <f>IF(H43&lt;&gt;"",H43,G43)</f>
        <v/>
      </c>
    </row>
    <row r="44">
      <c r="A44" s="9" t="n"/>
      <c r="B44" s="9" t="n"/>
      <c r="C44" s="9" t="n"/>
      <c r="D44" s="9" t="n"/>
      <c r="E44" s="9" t="n"/>
      <c r="F44" s="8">
        <f>IF(A44="","",IFERROR(INDEX(Testes!$N$2:$N$500,MATCH(A44,Testes!$A$2:$A$500,0)),""))</f>
        <v/>
      </c>
      <c r="G44" s="8">
        <f>IF(F44="ocorrência","VP",IF(F44="sem ocorrência","FP",""))</f>
        <v/>
      </c>
      <c r="H44" s="7" t="n"/>
      <c r="I44" s="8">
        <f>IF(H44&lt;&gt;"",H44,G44)</f>
        <v/>
      </c>
    </row>
    <row r="45">
      <c r="A45" s="9" t="n"/>
      <c r="B45" s="9" t="n"/>
      <c r="C45" s="9" t="n"/>
      <c r="D45" s="9" t="n"/>
      <c r="E45" s="9" t="n"/>
      <c r="F45" s="8">
        <f>IF(A45="","",IFERROR(INDEX(Testes!$N$2:$N$500,MATCH(A45,Testes!$A$2:$A$500,0)),""))</f>
        <v/>
      </c>
      <c r="G45" s="8">
        <f>IF(F45="ocorrência","VP",IF(F45="sem ocorrência","FP",""))</f>
        <v/>
      </c>
      <c r="H45" s="7" t="n"/>
      <c r="I45" s="8">
        <f>IF(H45&lt;&gt;"",H45,G45)</f>
        <v/>
      </c>
    </row>
    <row r="46">
      <c r="A46" s="9" t="n"/>
      <c r="B46" s="9" t="n"/>
      <c r="C46" s="9" t="n"/>
      <c r="D46" s="9" t="n"/>
      <c r="E46" s="9" t="n"/>
      <c r="F46" s="8">
        <f>IF(A46="","",IFERROR(INDEX(Testes!$N$2:$N$500,MATCH(A46,Testes!$A$2:$A$500,0)),""))</f>
        <v/>
      </c>
      <c r="G46" s="8">
        <f>IF(F46="ocorrência","VP",IF(F46="sem ocorrência","FP",""))</f>
        <v/>
      </c>
      <c r="H46" s="7" t="n"/>
      <c r="I46" s="8">
        <f>IF(H46&lt;&gt;"",H46,G46)</f>
        <v/>
      </c>
    </row>
    <row r="47">
      <c r="A47" s="9" t="n"/>
      <c r="B47" s="9" t="n"/>
      <c r="C47" s="9" t="n"/>
      <c r="D47" s="9" t="n"/>
      <c r="E47" s="9" t="n"/>
      <c r="F47" s="8">
        <f>IF(A47="","",IFERROR(INDEX(Testes!$N$2:$N$500,MATCH(A47,Testes!$A$2:$A$500,0)),""))</f>
        <v/>
      </c>
      <c r="G47" s="8">
        <f>IF(F47="ocorrência","VP",IF(F47="sem ocorrência","FP",""))</f>
        <v/>
      </c>
      <c r="H47" s="7" t="n"/>
      <c r="I47" s="8">
        <f>IF(H47&lt;&gt;"",H47,G47)</f>
        <v/>
      </c>
    </row>
    <row r="48">
      <c r="A48" s="9" t="n"/>
      <c r="B48" s="9" t="n"/>
      <c r="C48" s="9" t="n"/>
      <c r="D48" s="9" t="n"/>
      <c r="E48" s="9" t="n"/>
      <c r="F48" s="8">
        <f>IF(A48="","",IFERROR(INDEX(Testes!$N$2:$N$500,MATCH(A48,Testes!$A$2:$A$500,0)),""))</f>
        <v/>
      </c>
      <c r="G48" s="8">
        <f>IF(F48="ocorrência","VP",IF(F48="sem ocorrência","FP",""))</f>
        <v/>
      </c>
      <c r="H48" s="7" t="n"/>
      <c r="I48" s="8">
        <f>IF(H48&lt;&gt;"",H48,G48)</f>
        <v/>
      </c>
    </row>
    <row r="49">
      <c r="A49" s="9" t="n"/>
      <c r="B49" s="9" t="n"/>
      <c r="C49" s="9" t="n"/>
      <c r="D49" s="9" t="n"/>
      <c r="E49" s="9" t="n"/>
      <c r="F49" s="8">
        <f>IF(A49="","",IFERROR(INDEX(Testes!$N$2:$N$500,MATCH(A49,Testes!$A$2:$A$500,0)),""))</f>
        <v/>
      </c>
      <c r="G49" s="8">
        <f>IF(F49="ocorrência","VP",IF(F49="sem ocorrência","FP",""))</f>
        <v/>
      </c>
      <c r="H49" s="7" t="n"/>
      <c r="I49" s="8">
        <f>IF(H49&lt;&gt;"",H49,G49)</f>
        <v/>
      </c>
    </row>
    <row r="50">
      <c r="A50" s="9" t="n"/>
      <c r="B50" s="9" t="n"/>
      <c r="C50" s="9" t="n"/>
      <c r="D50" s="9" t="n"/>
      <c r="E50" s="9" t="n"/>
      <c r="F50" s="8">
        <f>IF(A50="","",IFERROR(INDEX(Testes!$N$2:$N$500,MATCH(A50,Testes!$A$2:$A$500,0)),""))</f>
        <v/>
      </c>
      <c r="G50" s="8">
        <f>IF(F50="ocorrência","VP",IF(F50="sem ocorrência","FP",""))</f>
        <v/>
      </c>
      <c r="H50" s="7" t="n"/>
      <c r="I50" s="8">
        <f>IF(H50&lt;&gt;"",H50,G50)</f>
        <v/>
      </c>
    </row>
    <row r="51">
      <c r="A51" s="9" t="n"/>
      <c r="B51" s="9" t="n"/>
      <c r="C51" s="9" t="n"/>
      <c r="D51" s="9" t="n"/>
      <c r="E51" s="9" t="n"/>
      <c r="F51" s="8">
        <f>IF(A51="","",IFERROR(INDEX(Testes!$N$2:$N$500,MATCH(A51,Testes!$A$2:$A$500,0)),""))</f>
        <v/>
      </c>
      <c r="G51" s="8">
        <f>IF(F51="ocorrência","VP",IF(F51="sem ocorrência","FP",""))</f>
        <v/>
      </c>
      <c r="H51" s="7" t="n"/>
      <c r="I51" s="8">
        <f>IF(H51&lt;&gt;"",H51,G51)</f>
        <v/>
      </c>
    </row>
    <row r="52">
      <c r="A52" s="9" t="n"/>
      <c r="B52" s="9" t="n"/>
      <c r="C52" s="9" t="n"/>
      <c r="D52" s="9" t="n"/>
      <c r="E52" s="9" t="n"/>
      <c r="F52" s="8">
        <f>IF(A52="","",IFERROR(INDEX(Testes!$N$2:$N$500,MATCH(A52,Testes!$A$2:$A$500,0)),""))</f>
        <v/>
      </c>
      <c r="G52" s="8">
        <f>IF(F52="ocorrência","VP",IF(F52="sem ocorrência","FP",""))</f>
        <v/>
      </c>
      <c r="H52" s="7" t="n"/>
      <c r="I52" s="8">
        <f>IF(H52&lt;&gt;"",H52,G52)</f>
        <v/>
      </c>
    </row>
    <row r="53">
      <c r="A53" s="9" t="n"/>
      <c r="B53" s="9" t="n"/>
      <c r="C53" s="9" t="n"/>
      <c r="D53" s="9" t="n"/>
      <c r="E53" s="9" t="n"/>
      <c r="F53" s="8">
        <f>IF(A53="","",IFERROR(INDEX(Testes!$N$2:$N$500,MATCH(A53,Testes!$A$2:$A$500,0)),""))</f>
        <v/>
      </c>
      <c r="G53" s="8">
        <f>IF(F53="ocorrência","VP",IF(F53="sem ocorrência","FP",""))</f>
        <v/>
      </c>
      <c r="H53" s="7" t="n"/>
      <c r="I53" s="8">
        <f>IF(H53&lt;&gt;"",H53,G53)</f>
        <v/>
      </c>
    </row>
    <row r="54">
      <c r="A54" s="9" t="n"/>
      <c r="B54" s="9" t="n"/>
      <c r="C54" s="9" t="n"/>
      <c r="D54" s="9" t="n"/>
      <c r="E54" s="9" t="n"/>
      <c r="F54" s="8">
        <f>IF(A54="","",IFERROR(INDEX(Testes!$N$2:$N$500,MATCH(A54,Testes!$A$2:$A$500,0)),""))</f>
        <v/>
      </c>
      <c r="G54" s="8">
        <f>IF(F54="ocorrência","VP",IF(F54="sem ocorrência","FP",""))</f>
        <v/>
      </c>
      <c r="H54" s="7" t="n"/>
      <c r="I54" s="8">
        <f>IF(H54&lt;&gt;"",H54,G54)</f>
        <v/>
      </c>
    </row>
    <row r="55">
      <c r="A55" s="9" t="n"/>
      <c r="B55" s="9" t="n"/>
      <c r="C55" s="9" t="n"/>
      <c r="D55" s="9" t="n"/>
      <c r="E55" s="9" t="n"/>
      <c r="F55" s="8">
        <f>IF(A55="","",IFERROR(INDEX(Testes!$N$2:$N$500,MATCH(A55,Testes!$A$2:$A$500,0)),""))</f>
        <v/>
      </c>
      <c r="G55" s="8">
        <f>IF(F55="ocorrência","VP",IF(F55="sem ocorrência","FP",""))</f>
        <v/>
      </c>
      <c r="H55" s="7" t="n"/>
      <c r="I55" s="8">
        <f>IF(H55&lt;&gt;"",H55,G55)</f>
        <v/>
      </c>
    </row>
    <row r="56">
      <c r="A56" s="9" t="n"/>
      <c r="B56" s="9" t="n"/>
      <c r="C56" s="9" t="n"/>
      <c r="D56" s="9" t="n"/>
      <c r="E56" s="9" t="n"/>
      <c r="F56" s="8">
        <f>IF(A56="","",IFERROR(INDEX(Testes!$N$2:$N$500,MATCH(A56,Testes!$A$2:$A$500,0)),""))</f>
        <v/>
      </c>
      <c r="G56" s="8">
        <f>IF(F56="ocorrência","VP",IF(F56="sem ocorrência","FP",""))</f>
        <v/>
      </c>
      <c r="H56" s="7" t="n"/>
      <c r="I56" s="8">
        <f>IF(H56&lt;&gt;"",H56,G56)</f>
        <v/>
      </c>
    </row>
    <row r="57">
      <c r="A57" s="9" t="n"/>
      <c r="B57" s="9" t="n"/>
      <c r="C57" s="9" t="n"/>
      <c r="D57" s="9" t="n"/>
      <c r="E57" s="9" t="n"/>
      <c r="F57" s="8">
        <f>IF(A57="","",IFERROR(INDEX(Testes!$N$2:$N$500,MATCH(A57,Testes!$A$2:$A$500,0)),""))</f>
        <v/>
      </c>
      <c r="G57" s="8">
        <f>IF(F57="ocorrência","VP",IF(F57="sem ocorrência","FP",""))</f>
        <v/>
      </c>
      <c r="H57" s="7" t="n"/>
      <c r="I57" s="8">
        <f>IF(H57&lt;&gt;"",H57,G57)</f>
        <v/>
      </c>
    </row>
    <row r="58">
      <c r="A58" s="9" t="n"/>
      <c r="B58" s="9" t="n"/>
      <c r="C58" s="9" t="n"/>
      <c r="D58" s="9" t="n"/>
      <c r="E58" s="9" t="n"/>
      <c r="F58" s="8">
        <f>IF(A58="","",IFERROR(INDEX(Testes!$N$2:$N$500,MATCH(A58,Testes!$A$2:$A$500,0)),""))</f>
        <v/>
      </c>
      <c r="G58" s="8">
        <f>IF(F58="ocorrência","VP",IF(F58="sem ocorrência","FP",""))</f>
        <v/>
      </c>
      <c r="H58" s="7" t="n"/>
      <c r="I58" s="8">
        <f>IF(H58&lt;&gt;"",H58,G58)</f>
        <v/>
      </c>
    </row>
    <row r="59">
      <c r="A59" s="9" t="n"/>
      <c r="B59" s="9" t="n"/>
      <c r="C59" s="9" t="n"/>
      <c r="D59" s="9" t="n"/>
      <c r="E59" s="9" t="n"/>
      <c r="F59" s="8">
        <f>IF(A59="","",IFERROR(INDEX(Testes!$N$2:$N$500,MATCH(A59,Testes!$A$2:$A$500,0)),""))</f>
        <v/>
      </c>
      <c r="G59" s="8">
        <f>IF(F59="ocorrência","VP",IF(F59="sem ocorrência","FP",""))</f>
        <v/>
      </c>
      <c r="H59" s="7" t="n"/>
      <c r="I59" s="8">
        <f>IF(H59&lt;&gt;"",H59,G59)</f>
        <v/>
      </c>
    </row>
    <row r="60">
      <c r="A60" s="9" t="n"/>
      <c r="B60" s="9" t="n"/>
      <c r="C60" s="9" t="n"/>
      <c r="D60" s="9" t="n"/>
      <c r="E60" s="9" t="n"/>
      <c r="F60" s="8">
        <f>IF(A60="","",IFERROR(INDEX(Testes!$N$2:$N$500,MATCH(A60,Testes!$A$2:$A$500,0)),""))</f>
        <v/>
      </c>
      <c r="G60" s="8">
        <f>IF(F60="ocorrência","VP",IF(F60="sem ocorrência","FP",""))</f>
        <v/>
      </c>
      <c r="H60" s="7" t="n"/>
      <c r="I60" s="8">
        <f>IF(H60&lt;&gt;"",H60,G60)</f>
        <v/>
      </c>
    </row>
    <row r="61">
      <c r="A61" s="9" t="n"/>
      <c r="B61" s="9" t="n"/>
      <c r="C61" s="9" t="n"/>
      <c r="D61" s="9" t="n"/>
      <c r="E61" s="9" t="n"/>
      <c r="F61" s="8">
        <f>IF(A61="","",IFERROR(INDEX(Testes!$N$2:$N$500,MATCH(A61,Testes!$A$2:$A$500,0)),""))</f>
        <v/>
      </c>
      <c r="G61" s="8">
        <f>IF(F61="ocorrência","VP",IF(F61="sem ocorrência","FP",""))</f>
        <v/>
      </c>
      <c r="H61" s="7" t="n"/>
      <c r="I61" s="8">
        <f>IF(H61&lt;&gt;"",H61,G61)</f>
        <v/>
      </c>
    </row>
    <row r="62">
      <c r="A62" s="9" t="n"/>
      <c r="B62" s="9" t="n"/>
      <c r="C62" s="9" t="n"/>
      <c r="D62" s="9" t="n"/>
      <c r="E62" s="9" t="n"/>
      <c r="F62" s="8">
        <f>IF(A62="","",IFERROR(INDEX(Testes!$N$2:$N$500,MATCH(A62,Testes!$A$2:$A$500,0)),""))</f>
        <v/>
      </c>
      <c r="G62" s="8">
        <f>IF(F62="ocorrência","VP",IF(F62="sem ocorrência","FP",""))</f>
        <v/>
      </c>
      <c r="H62" s="7" t="n"/>
      <c r="I62" s="8">
        <f>IF(H62&lt;&gt;"",H62,G62)</f>
        <v/>
      </c>
    </row>
    <row r="63">
      <c r="A63" s="9" t="n"/>
      <c r="B63" s="9" t="n"/>
      <c r="C63" s="9" t="n"/>
      <c r="D63" s="9" t="n"/>
      <c r="E63" s="9" t="n"/>
      <c r="F63" s="8">
        <f>IF(A63="","",IFERROR(INDEX(Testes!$N$2:$N$500,MATCH(A63,Testes!$A$2:$A$500,0)),""))</f>
        <v/>
      </c>
      <c r="G63" s="8">
        <f>IF(F63="ocorrência","VP",IF(F63="sem ocorrência","FP",""))</f>
        <v/>
      </c>
      <c r="H63" s="7" t="n"/>
      <c r="I63" s="8">
        <f>IF(H63&lt;&gt;"",H63,G63)</f>
        <v/>
      </c>
    </row>
    <row r="64">
      <c r="A64" s="9" t="n"/>
      <c r="B64" s="9" t="n"/>
      <c r="C64" s="9" t="n"/>
      <c r="D64" s="9" t="n"/>
      <c r="E64" s="9" t="n"/>
      <c r="F64" s="8">
        <f>IF(A64="","",IFERROR(INDEX(Testes!$N$2:$N$500,MATCH(A64,Testes!$A$2:$A$500,0)),""))</f>
        <v/>
      </c>
      <c r="G64" s="8">
        <f>IF(F64="ocorrência","VP",IF(F64="sem ocorrência","FP",""))</f>
        <v/>
      </c>
      <c r="H64" s="7" t="n"/>
      <c r="I64" s="8">
        <f>IF(H64&lt;&gt;"",H64,G64)</f>
        <v/>
      </c>
    </row>
    <row r="65">
      <c r="A65" s="9" t="n"/>
      <c r="B65" s="9" t="n"/>
      <c r="C65" s="9" t="n"/>
      <c r="D65" s="9" t="n"/>
      <c r="E65" s="9" t="n"/>
      <c r="F65" s="8">
        <f>IF(A65="","",IFERROR(INDEX(Testes!$N$2:$N$500,MATCH(A65,Testes!$A$2:$A$500,0)),""))</f>
        <v/>
      </c>
      <c r="G65" s="8">
        <f>IF(F65="ocorrência","VP",IF(F65="sem ocorrência","FP",""))</f>
        <v/>
      </c>
      <c r="H65" s="7" t="n"/>
      <c r="I65" s="8">
        <f>IF(H65&lt;&gt;"",H65,G65)</f>
        <v/>
      </c>
    </row>
    <row r="66">
      <c r="A66" s="9" t="n"/>
      <c r="B66" s="9" t="n"/>
      <c r="C66" s="9" t="n"/>
      <c r="D66" s="9" t="n"/>
      <c r="E66" s="9" t="n"/>
      <c r="F66" s="8">
        <f>IF(A66="","",IFERROR(INDEX(Testes!$N$2:$N$500,MATCH(A66,Testes!$A$2:$A$500,0)),""))</f>
        <v/>
      </c>
      <c r="G66" s="8">
        <f>IF(F66="ocorrência","VP",IF(F66="sem ocorrência","FP",""))</f>
        <v/>
      </c>
      <c r="H66" s="7" t="n"/>
      <c r="I66" s="8">
        <f>IF(H66&lt;&gt;"",H66,G66)</f>
        <v/>
      </c>
    </row>
    <row r="67">
      <c r="A67" s="9" t="n"/>
      <c r="B67" s="9" t="n"/>
      <c r="C67" s="9" t="n"/>
      <c r="D67" s="9" t="n"/>
      <c r="E67" s="9" t="n"/>
      <c r="F67" s="8">
        <f>IF(A67="","",IFERROR(INDEX(Testes!$N$2:$N$500,MATCH(A67,Testes!$A$2:$A$500,0)),""))</f>
        <v/>
      </c>
      <c r="G67" s="8">
        <f>IF(F67="ocorrência","VP",IF(F67="sem ocorrência","FP",""))</f>
        <v/>
      </c>
      <c r="H67" s="7" t="n"/>
      <c r="I67" s="8">
        <f>IF(H67&lt;&gt;"",H67,G67)</f>
        <v/>
      </c>
    </row>
    <row r="68">
      <c r="A68" s="9" t="n"/>
      <c r="B68" s="9" t="n"/>
      <c r="C68" s="9" t="n"/>
      <c r="D68" s="9" t="n"/>
      <c r="E68" s="9" t="n"/>
      <c r="F68" s="8">
        <f>IF(A68="","",IFERROR(INDEX(Testes!$N$2:$N$500,MATCH(A68,Testes!$A$2:$A$500,0)),""))</f>
        <v/>
      </c>
      <c r="G68" s="8">
        <f>IF(F68="ocorrência","VP",IF(F68="sem ocorrência","FP",""))</f>
        <v/>
      </c>
      <c r="H68" s="7" t="n"/>
      <c r="I68" s="8">
        <f>IF(H68&lt;&gt;"",H68,G68)</f>
        <v/>
      </c>
    </row>
    <row r="69">
      <c r="A69" s="9" t="n"/>
      <c r="B69" s="9" t="n"/>
      <c r="C69" s="9" t="n"/>
      <c r="D69" s="9" t="n"/>
      <c r="E69" s="9" t="n"/>
      <c r="F69" s="8">
        <f>IF(A69="","",IFERROR(INDEX(Testes!$N$2:$N$500,MATCH(A69,Testes!$A$2:$A$500,0)),""))</f>
        <v/>
      </c>
      <c r="G69" s="8">
        <f>IF(F69="ocorrência","VP",IF(F69="sem ocorrência","FP",""))</f>
        <v/>
      </c>
      <c r="H69" s="7" t="n"/>
      <c r="I69" s="8">
        <f>IF(H69&lt;&gt;"",H69,G69)</f>
        <v/>
      </c>
    </row>
    <row r="70">
      <c r="A70" s="9" t="n"/>
      <c r="B70" s="9" t="n"/>
      <c r="C70" s="9" t="n"/>
      <c r="D70" s="9" t="n"/>
      <c r="E70" s="9" t="n"/>
      <c r="F70" s="8">
        <f>IF(A70="","",IFERROR(INDEX(Testes!$N$2:$N$500,MATCH(A70,Testes!$A$2:$A$500,0)),""))</f>
        <v/>
      </c>
      <c r="G70" s="8">
        <f>IF(F70="ocorrência","VP",IF(F70="sem ocorrência","FP",""))</f>
        <v/>
      </c>
      <c r="H70" s="7" t="n"/>
      <c r="I70" s="8">
        <f>IF(H70&lt;&gt;"",H70,G70)</f>
        <v/>
      </c>
    </row>
    <row r="71">
      <c r="A71" s="9" t="n"/>
      <c r="B71" s="9" t="n"/>
      <c r="C71" s="9" t="n"/>
      <c r="D71" s="9" t="n"/>
      <c r="E71" s="9" t="n"/>
      <c r="F71" s="8">
        <f>IF(A71="","",IFERROR(INDEX(Testes!$N$2:$N$500,MATCH(A71,Testes!$A$2:$A$500,0)),""))</f>
        <v/>
      </c>
      <c r="G71" s="8">
        <f>IF(F71="ocorrência","VP",IF(F71="sem ocorrência","FP",""))</f>
        <v/>
      </c>
      <c r="H71" s="7" t="n"/>
      <c r="I71" s="8">
        <f>IF(H71&lt;&gt;"",H71,G71)</f>
        <v/>
      </c>
    </row>
    <row r="72">
      <c r="A72" s="9" t="n"/>
      <c r="B72" s="9" t="n"/>
      <c r="C72" s="9" t="n"/>
      <c r="D72" s="9" t="n"/>
      <c r="E72" s="9" t="n"/>
      <c r="F72" s="8">
        <f>IF(A72="","",IFERROR(INDEX(Testes!$N$2:$N$500,MATCH(A72,Testes!$A$2:$A$500,0)),""))</f>
        <v/>
      </c>
      <c r="G72" s="8">
        <f>IF(F72="ocorrência","VP",IF(F72="sem ocorrência","FP",""))</f>
        <v/>
      </c>
      <c r="H72" s="7" t="n"/>
      <c r="I72" s="8">
        <f>IF(H72&lt;&gt;"",H72,G72)</f>
        <v/>
      </c>
    </row>
    <row r="73">
      <c r="A73" s="9" t="n"/>
      <c r="B73" s="9" t="n"/>
      <c r="C73" s="9" t="n"/>
      <c r="D73" s="9" t="n"/>
      <c r="E73" s="9" t="n"/>
      <c r="F73" s="8">
        <f>IF(A73="","",IFERROR(INDEX(Testes!$N$2:$N$500,MATCH(A73,Testes!$A$2:$A$500,0)),""))</f>
        <v/>
      </c>
      <c r="G73" s="8">
        <f>IF(F73="ocorrência","VP",IF(F73="sem ocorrência","FP",""))</f>
        <v/>
      </c>
      <c r="H73" s="7" t="n"/>
      <c r="I73" s="8">
        <f>IF(H73&lt;&gt;"",H73,G73)</f>
        <v/>
      </c>
    </row>
    <row r="74">
      <c r="A74" s="9" t="n"/>
      <c r="B74" s="9" t="n"/>
      <c r="C74" s="9" t="n"/>
      <c r="D74" s="9" t="n"/>
      <c r="E74" s="9" t="n"/>
      <c r="F74" s="8">
        <f>IF(A74="","",IFERROR(INDEX(Testes!$N$2:$N$500,MATCH(A74,Testes!$A$2:$A$500,0)),""))</f>
        <v/>
      </c>
      <c r="G74" s="8">
        <f>IF(F74="ocorrência","VP",IF(F74="sem ocorrência","FP",""))</f>
        <v/>
      </c>
      <c r="H74" s="7" t="n"/>
      <c r="I74" s="8">
        <f>IF(H74&lt;&gt;"",H74,G74)</f>
        <v/>
      </c>
    </row>
    <row r="75">
      <c r="A75" s="9" t="n"/>
      <c r="B75" s="9" t="n"/>
      <c r="C75" s="9" t="n"/>
      <c r="D75" s="9" t="n"/>
      <c r="E75" s="9" t="n"/>
      <c r="F75" s="8">
        <f>IF(A75="","",IFERROR(INDEX(Testes!$N$2:$N$500,MATCH(A75,Testes!$A$2:$A$500,0)),""))</f>
        <v/>
      </c>
      <c r="G75" s="8">
        <f>IF(F75="ocorrência","VP",IF(F75="sem ocorrência","FP",""))</f>
        <v/>
      </c>
      <c r="H75" s="7" t="n"/>
      <c r="I75" s="8">
        <f>IF(H75&lt;&gt;"",H75,G75)</f>
        <v/>
      </c>
    </row>
    <row r="76">
      <c r="A76" s="9" t="n"/>
      <c r="B76" s="9" t="n"/>
      <c r="C76" s="9" t="n"/>
      <c r="D76" s="9" t="n"/>
      <c r="E76" s="9" t="n"/>
      <c r="F76" s="8">
        <f>IF(A76="","",IFERROR(INDEX(Testes!$N$2:$N$500,MATCH(A76,Testes!$A$2:$A$500,0)),""))</f>
        <v/>
      </c>
      <c r="G76" s="8">
        <f>IF(F76="ocorrência","VP",IF(F76="sem ocorrência","FP",""))</f>
        <v/>
      </c>
      <c r="H76" s="7" t="n"/>
      <c r="I76" s="8">
        <f>IF(H76&lt;&gt;"",H76,G76)</f>
        <v/>
      </c>
    </row>
    <row r="77">
      <c r="A77" s="9" t="n"/>
      <c r="B77" s="9" t="n"/>
      <c r="C77" s="9" t="n"/>
      <c r="D77" s="9" t="n"/>
      <c r="E77" s="9" t="n"/>
      <c r="F77" s="8">
        <f>IF(A77="","",IFERROR(INDEX(Testes!$N$2:$N$500,MATCH(A77,Testes!$A$2:$A$500,0)),""))</f>
        <v/>
      </c>
      <c r="G77" s="8">
        <f>IF(F77="ocorrência","VP",IF(F77="sem ocorrência","FP",""))</f>
        <v/>
      </c>
      <c r="H77" s="7" t="n"/>
      <c r="I77" s="8">
        <f>IF(H77&lt;&gt;"",H77,G77)</f>
        <v/>
      </c>
    </row>
    <row r="78">
      <c r="A78" s="9" t="n"/>
      <c r="B78" s="9" t="n"/>
      <c r="C78" s="9" t="n"/>
      <c r="D78" s="9" t="n"/>
      <c r="E78" s="9" t="n"/>
      <c r="F78" s="8">
        <f>IF(A78="","",IFERROR(INDEX(Testes!$N$2:$N$500,MATCH(A78,Testes!$A$2:$A$500,0)),""))</f>
        <v/>
      </c>
      <c r="G78" s="8">
        <f>IF(F78="ocorrência","VP",IF(F78="sem ocorrência","FP",""))</f>
        <v/>
      </c>
      <c r="H78" s="7" t="n"/>
      <c r="I78" s="8">
        <f>IF(H78&lt;&gt;"",H78,G78)</f>
        <v/>
      </c>
    </row>
    <row r="79">
      <c r="A79" s="9" t="n"/>
      <c r="B79" s="9" t="n"/>
      <c r="C79" s="9" t="n"/>
      <c r="D79" s="9" t="n"/>
      <c r="E79" s="9" t="n"/>
      <c r="F79" s="8">
        <f>IF(A79="","",IFERROR(INDEX(Testes!$N$2:$N$500,MATCH(A79,Testes!$A$2:$A$500,0)),""))</f>
        <v/>
      </c>
      <c r="G79" s="8">
        <f>IF(F79="ocorrência","VP",IF(F79="sem ocorrência","FP",""))</f>
        <v/>
      </c>
      <c r="H79" s="7" t="n"/>
      <c r="I79" s="8">
        <f>IF(H79&lt;&gt;"",H79,G79)</f>
        <v/>
      </c>
    </row>
    <row r="80">
      <c r="A80" s="9" t="n"/>
      <c r="B80" s="9" t="n"/>
      <c r="C80" s="9" t="n"/>
      <c r="D80" s="9" t="n"/>
      <c r="E80" s="9" t="n"/>
      <c r="F80" s="8">
        <f>IF(A80="","",IFERROR(INDEX(Testes!$N$2:$N$500,MATCH(A80,Testes!$A$2:$A$500,0)),""))</f>
        <v/>
      </c>
      <c r="G80" s="8">
        <f>IF(F80="ocorrência","VP",IF(F80="sem ocorrência","FP",""))</f>
        <v/>
      </c>
      <c r="H80" s="7" t="n"/>
      <c r="I80" s="8">
        <f>IF(H80&lt;&gt;"",H80,G80)</f>
        <v/>
      </c>
    </row>
    <row r="81">
      <c r="A81" s="9" t="n"/>
      <c r="B81" s="9" t="n"/>
      <c r="C81" s="9" t="n"/>
      <c r="D81" s="9" t="n"/>
      <c r="E81" s="9" t="n"/>
      <c r="F81" s="8">
        <f>IF(A81="","",IFERROR(INDEX(Testes!$N$2:$N$500,MATCH(A81,Testes!$A$2:$A$500,0)),""))</f>
        <v/>
      </c>
      <c r="G81" s="8">
        <f>IF(F81="ocorrência","VP",IF(F81="sem ocorrência","FP",""))</f>
        <v/>
      </c>
      <c r="H81" s="7" t="n"/>
      <c r="I81" s="8">
        <f>IF(H81&lt;&gt;"",H81,G81)</f>
        <v/>
      </c>
    </row>
    <row r="82">
      <c r="A82" s="9" t="n"/>
      <c r="B82" s="9" t="n"/>
      <c r="C82" s="9" t="n"/>
      <c r="D82" s="9" t="n"/>
      <c r="E82" s="9" t="n"/>
      <c r="F82" s="8">
        <f>IF(A82="","",IFERROR(INDEX(Testes!$N$2:$N$500,MATCH(A82,Testes!$A$2:$A$500,0)),""))</f>
        <v/>
      </c>
      <c r="G82" s="8">
        <f>IF(F82="ocorrência","VP",IF(F82="sem ocorrência","FP",""))</f>
        <v/>
      </c>
      <c r="H82" s="7" t="n"/>
      <c r="I82" s="8">
        <f>IF(H82&lt;&gt;"",H82,G82)</f>
        <v/>
      </c>
    </row>
    <row r="83">
      <c r="A83" s="9" t="n"/>
      <c r="B83" s="9" t="n"/>
      <c r="C83" s="9" t="n"/>
      <c r="D83" s="9" t="n"/>
      <c r="E83" s="9" t="n"/>
      <c r="F83" s="8">
        <f>IF(A83="","",IFERROR(INDEX(Testes!$N$2:$N$500,MATCH(A83,Testes!$A$2:$A$500,0)),""))</f>
        <v/>
      </c>
      <c r="G83" s="8">
        <f>IF(F83="ocorrência","VP",IF(F83="sem ocorrência","FP",""))</f>
        <v/>
      </c>
      <c r="H83" s="7" t="n"/>
      <c r="I83" s="8">
        <f>IF(H83&lt;&gt;"",H83,G83)</f>
        <v/>
      </c>
    </row>
    <row r="84">
      <c r="A84" s="9" t="n"/>
      <c r="B84" s="9" t="n"/>
      <c r="C84" s="9" t="n"/>
      <c r="D84" s="9" t="n"/>
      <c r="E84" s="9" t="n"/>
      <c r="F84" s="8">
        <f>IF(A84="","",IFERROR(INDEX(Testes!$N$2:$N$500,MATCH(A84,Testes!$A$2:$A$500,0)),""))</f>
        <v/>
      </c>
      <c r="G84" s="8">
        <f>IF(F84="ocorrência","VP",IF(F84="sem ocorrência","FP",""))</f>
        <v/>
      </c>
      <c r="H84" s="7" t="n"/>
      <c r="I84" s="8">
        <f>IF(H84&lt;&gt;"",H84,G84)</f>
        <v/>
      </c>
    </row>
    <row r="85">
      <c r="A85" s="9" t="n"/>
      <c r="B85" s="9" t="n"/>
      <c r="C85" s="9" t="n"/>
      <c r="D85" s="9" t="n"/>
      <c r="E85" s="9" t="n"/>
      <c r="F85" s="8">
        <f>IF(A85="","",IFERROR(INDEX(Testes!$N$2:$N$500,MATCH(A85,Testes!$A$2:$A$500,0)),""))</f>
        <v/>
      </c>
      <c r="G85" s="8">
        <f>IF(F85="ocorrência","VP",IF(F85="sem ocorrência","FP",""))</f>
        <v/>
      </c>
      <c r="H85" s="7" t="n"/>
      <c r="I85" s="8">
        <f>IF(H85&lt;&gt;"",H85,G85)</f>
        <v/>
      </c>
    </row>
    <row r="86">
      <c r="A86" s="9" t="n"/>
      <c r="B86" s="9" t="n"/>
      <c r="C86" s="9" t="n"/>
      <c r="D86" s="9" t="n"/>
      <c r="E86" s="9" t="n"/>
      <c r="F86" s="8">
        <f>IF(A86="","",IFERROR(INDEX(Testes!$N$2:$N$500,MATCH(A86,Testes!$A$2:$A$500,0)),""))</f>
        <v/>
      </c>
      <c r="G86" s="8">
        <f>IF(F86="ocorrência","VP",IF(F86="sem ocorrência","FP",""))</f>
        <v/>
      </c>
      <c r="H86" s="7" t="n"/>
      <c r="I86" s="8">
        <f>IF(H86&lt;&gt;"",H86,G86)</f>
        <v/>
      </c>
    </row>
    <row r="87">
      <c r="A87" s="9" t="n"/>
      <c r="B87" s="9" t="n"/>
      <c r="C87" s="9" t="n"/>
      <c r="D87" s="9" t="n"/>
      <c r="E87" s="9" t="n"/>
      <c r="F87" s="8">
        <f>IF(A87="","",IFERROR(INDEX(Testes!$N$2:$N$500,MATCH(A87,Testes!$A$2:$A$500,0)),""))</f>
        <v/>
      </c>
      <c r="G87" s="8">
        <f>IF(F87="ocorrência","VP",IF(F87="sem ocorrência","FP",""))</f>
        <v/>
      </c>
      <c r="H87" s="7" t="n"/>
      <c r="I87" s="8">
        <f>IF(H87&lt;&gt;"",H87,G87)</f>
        <v/>
      </c>
    </row>
    <row r="88">
      <c r="A88" s="9" t="n"/>
      <c r="B88" s="9" t="n"/>
      <c r="C88" s="9" t="n"/>
      <c r="D88" s="9" t="n"/>
      <c r="E88" s="9" t="n"/>
      <c r="F88" s="8">
        <f>IF(A88="","",IFERROR(INDEX(Testes!$N$2:$N$500,MATCH(A88,Testes!$A$2:$A$500,0)),""))</f>
        <v/>
      </c>
      <c r="G88" s="8">
        <f>IF(F88="ocorrência","VP",IF(F88="sem ocorrência","FP",""))</f>
        <v/>
      </c>
      <c r="H88" s="7" t="n"/>
      <c r="I88" s="8">
        <f>IF(H88&lt;&gt;"",H88,G88)</f>
        <v/>
      </c>
    </row>
    <row r="89">
      <c r="A89" s="9" t="n"/>
      <c r="B89" s="9" t="n"/>
      <c r="C89" s="9" t="n"/>
      <c r="D89" s="9" t="n"/>
      <c r="E89" s="9" t="n"/>
      <c r="F89" s="8">
        <f>IF(A89="","",IFERROR(INDEX(Testes!$N$2:$N$500,MATCH(A89,Testes!$A$2:$A$500,0)),""))</f>
        <v/>
      </c>
      <c r="G89" s="8">
        <f>IF(F89="ocorrência","VP",IF(F89="sem ocorrência","FP",""))</f>
        <v/>
      </c>
      <c r="H89" s="7" t="n"/>
      <c r="I89" s="8">
        <f>IF(H89&lt;&gt;"",H89,G89)</f>
        <v/>
      </c>
    </row>
    <row r="90">
      <c r="A90" s="9" t="n"/>
      <c r="B90" s="9" t="n"/>
      <c r="C90" s="9" t="n"/>
      <c r="D90" s="9" t="n"/>
      <c r="E90" s="9" t="n"/>
      <c r="F90" s="8">
        <f>IF(A90="","",IFERROR(INDEX(Testes!$N$2:$N$500,MATCH(A90,Testes!$A$2:$A$500,0)),""))</f>
        <v/>
      </c>
      <c r="G90" s="8">
        <f>IF(F90="ocorrência","VP",IF(F90="sem ocorrência","FP",""))</f>
        <v/>
      </c>
      <c r="H90" s="7" t="n"/>
      <c r="I90" s="8">
        <f>IF(H90&lt;&gt;"",H90,G90)</f>
        <v/>
      </c>
    </row>
    <row r="91">
      <c r="A91" s="9" t="n"/>
      <c r="B91" s="9" t="n"/>
      <c r="C91" s="9" t="n"/>
      <c r="D91" s="9" t="n"/>
      <c r="E91" s="9" t="n"/>
      <c r="F91" s="8">
        <f>IF(A91="","",IFERROR(INDEX(Testes!$N$2:$N$500,MATCH(A91,Testes!$A$2:$A$500,0)),""))</f>
        <v/>
      </c>
      <c r="G91" s="8">
        <f>IF(F91="ocorrência","VP",IF(F91="sem ocorrência","FP",""))</f>
        <v/>
      </c>
      <c r="H91" s="7" t="n"/>
      <c r="I91" s="8">
        <f>IF(H91&lt;&gt;"",H91,G91)</f>
        <v/>
      </c>
    </row>
    <row r="92">
      <c r="A92" s="9" t="n"/>
      <c r="B92" s="9" t="n"/>
      <c r="C92" s="9" t="n"/>
      <c r="D92" s="9" t="n"/>
      <c r="E92" s="9" t="n"/>
      <c r="F92" s="8">
        <f>IF(A92="","",IFERROR(INDEX(Testes!$N$2:$N$500,MATCH(A92,Testes!$A$2:$A$500,0)),""))</f>
        <v/>
      </c>
      <c r="G92" s="8">
        <f>IF(F92="ocorrência","VP",IF(F92="sem ocorrência","FP",""))</f>
        <v/>
      </c>
      <c r="H92" s="7" t="n"/>
      <c r="I92" s="8">
        <f>IF(H92&lt;&gt;"",H92,G92)</f>
        <v/>
      </c>
    </row>
    <row r="93">
      <c r="A93" s="9" t="n"/>
      <c r="B93" s="9" t="n"/>
      <c r="C93" s="9" t="n"/>
      <c r="D93" s="9" t="n"/>
      <c r="E93" s="9" t="n"/>
      <c r="F93" s="8">
        <f>IF(A93="","",IFERROR(INDEX(Testes!$N$2:$N$500,MATCH(A93,Testes!$A$2:$A$500,0)),""))</f>
        <v/>
      </c>
      <c r="G93" s="8">
        <f>IF(F93="ocorrência","VP",IF(F93="sem ocorrência","FP",""))</f>
        <v/>
      </c>
      <c r="H93" s="7" t="n"/>
      <c r="I93" s="8">
        <f>IF(H93&lt;&gt;"",H93,G93)</f>
        <v/>
      </c>
    </row>
    <row r="94">
      <c r="A94" s="9" t="n"/>
      <c r="B94" s="9" t="n"/>
      <c r="C94" s="9" t="n"/>
      <c r="D94" s="9" t="n"/>
      <c r="E94" s="9" t="n"/>
      <c r="F94" s="8">
        <f>IF(A94="","",IFERROR(INDEX(Testes!$N$2:$N$500,MATCH(A94,Testes!$A$2:$A$500,0)),""))</f>
        <v/>
      </c>
      <c r="G94" s="8">
        <f>IF(F94="ocorrência","VP",IF(F94="sem ocorrência","FP",""))</f>
        <v/>
      </c>
      <c r="H94" s="7" t="n"/>
      <c r="I94" s="8">
        <f>IF(H94&lt;&gt;"",H94,G94)</f>
        <v/>
      </c>
    </row>
    <row r="95">
      <c r="A95" s="9" t="n"/>
      <c r="B95" s="9" t="n"/>
      <c r="C95" s="9" t="n"/>
      <c r="D95" s="9" t="n"/>
      <c r="E95" s="9" t="n"/>
      <c r="F95" s="8">
        <f>IF(A95="","",IFERROR(INDEX(Testes!$N$2:$N$500,MATCH(A95,Testes!$A$2:$A$500,0)),""))</f>
        <v/>
      </c>
      <c r="G95" s="8">
        <f>IF(F95="ocorrência","VP",IF(F95="sem ocorrência","FP",""))</f>
        <v/>
      </c>
      <c r="H95" s="7" t="n"/>
      <c r="I95" s="8">
        <f>IF(H95&lt;&gt;"",H95,G95)</f>
        <v/>
      </c>
    </row>
    <row r="96">
      <c r="A96" s="9" t="n"/>
      <c r="B96" s="9" t="n"/>
      <c r="C96" s="9" t="n"/>
      <c r="D96" s="9" t="n"/>
      <c r="E96" s="9" t="n"/>
      <c r="F96" s="8">
        <f>IF(A96="","",IFERROR(INDEX(Testes!$N$2:$N$500,MATCH(A96,Testes!$A$2:$A$500,0)),""))</f>
        <v/>
      </c>
      <c r="G96" s="8">
        <f>IF(F96="ocorrência","VP",IF(F96="sem ocorrência","FP",""))</f>
        <v/>
      </c>
      <c r="H96" s="7" t="n"/>
      <c r="I96" s="8">
        <f>IF(H96&lt;&gt;"",H96,G96)</f>
        <v/>
      </c>
    </row>
    <row r="97">
      <c r="A97" s="9" t="n"/>
      <c r="B97" s="9" t="n"/>
      <c r="C97" s="9" t="n"/>
      <c r="D97" s="9" t="n"/>
      <c r="E97" s="9" t="n"/>
      <c r="F97" s="8">
        <f>IF(A97="","",IFERROR(INDEX(Testes!$N$2:$N$500,MATCH(A97,Testes!$A$2:$A$500,0)),""))</f>
        <v/>
      </c>
      <c r="G97" s="8">
        <f>IF(F97="ocorrência","VP",IF(F97="sem ocorrência","FP",""))</f>
        <v/>
      </c>
      <c r="H97" s="7" t="n"/>
      <c r="I97" s="8">
        <f>IF(H97&lt;&gt;"",H97,G97)</f>
        <v/>
      </c>
    </row>
    <row r="98">
      <c r="A98" s="9" t="n"/>
      <c r="B98" s="9" t="n"/>
      <c r="C98" s="9" t="n"/>
      <c r="D98" s="9" t="n"/>
      <c r="E98" s="9" t="n"/>
      <c r="F98" s="8">
        <f>IF(A98="","",IFERROR(INDEX(Testes!$N$2:$N$500,MATCH(A98,Testes!$A$2:$A$500,0)),""))</f>
        <v/>
      </c>
      <c r="G98" s="8">
        <f>IF(F98="ocorrência","VP",IF(F98="sem ocorrência","FP",""))</f>
        <v/>
      </c>
      <c r="H98" s="7" t="n"/>
      <c r="I98" s="8">
        <f>IF(H98&lt;&gt;"",H98,G98)</f>
        <v/>
      </c>
    </row>
    <row r="99">
      <c r="A99" s="9" t="n"/>
      <c r="B99" s="9" t="n"/>
      <c r="C99" s="9" t="n"/>
      <c r="D99" s="9" t="n"/>
      <c r="E99" s="9" t="n"/>
      <c r="F99" s="8">
        <f>IF(A99="","",IFERROR(INDEX(Testes!$N$2:$N$500,MATCH(A99,Testes!$A$2:$A$500,0)),""))</f>
        <v/>
      </c>
      <c r="G99" s="8">
        <f>IF(F99="ocorrência","VP",IF(F99="sem ocorrência","FP",""))</f>
        <v/>
      </c>
      <c r="H99" s="7" t="n"/>
      <c r="I99" s="8">
        <f>IF(H99&lt;&gt;"",H99,G99)</f>
        <v/>
      </c>
    </row>
    <row r="100">
      <c r="A100" s="9" t="n"/>
      <c r="B100" s="9" t="n"/>
      <c r="C100" s="9" t="n"/>
      <c r="D100" s="9" t="n"/>
      <c r="E100" s="9" t="n"/>
      <c r="F100" s="8">
        <f>IF(A100="","",IFERROR(INDEX(Testes!$N$2:$N$500,MATCH(A100,Testes!$A$2:$A$500,0)),""))</f>
        <v/>
      </c>
      <c r="G100" s="8">
        <f>IF(F100="ocorrência","VP",IF(F100="sem ocorrência","FP",""))</f>
        <v/>
      </c>
      <c r="H100" s="7" t="n"/>
      <c r="I100" s="8">
        <f>IF(H100&lt;&gt;"",H100,G100)</f>
        <v/>
      </c>
    </row>
    <row r="101">
      <c r="A101" s="9" t="n"/>
      <c r="B101" s="9" t="n"/>
      <c r="C101" s="9" t="n"/>
      <c r="D101" s="9" t="n"/>
      <c r="E101" s="9" t="n"/>
      <c r="F101" s="8">
        <f>IF(A101="","",IFERROR(INDEX(Testes!$N$2:$N$500,MATCH(A101,Testes!$A$2:$A$500,0)),""))</f>
        <v/>
      </c>
      <c r="G101" s="8">
        <f>IF(F101="ocorrência","VP",IF(F101="sem ocorrência","FP",""))</f>
        <v/>
      </c>
      <c r="H101" s="7" t="n"/>
      <c r="I101" s="8">
        <f>IF(H101&lt;&gt;"",H101,G101)</f>
        <v/>
      </c>
    </row>
    <row r="102">
      <c r="A102" s="9" t="n"/>
      <c r="B102" s="9" t="n"/>
      <c r="C102" s="9" t="n"/>
      <c r="D102" s="9" t="n"/>
      <c r="E102" s="9" t="n"/>
      <c r="F102" s="8">
        <f>IF(A102="","",IFERROR(INDEX(Testes!$N$2:$N$500,MATCH(A102,Testes!$A$2:$A$500,0)),""))</f>
        <v/>
      </c>
      <c r="G102" s="8">
        <f>IF(F102="ocorrência","VP",IF(F102="sem ocorrência","FP",""))</f>
        <v/>
      </c>
      <c r="H102" s="7" t="n"/>
      <c r="I102" s="8">
        <f>IF(H102&lt;&gt;"",H102,G102)</f>
        <v/>
      </c>
    </row>
    <row r="103">
      <c r="A103" s="9" t="n"/>
      <c r="B103" s="9" t="n"/>
      <c r="C103" s="9" t="n"/>
      <c r="D103" s="9" t="n"/>
      <c r="E103" s="9" t="n"/>
      <c r="F103" s="8">
        <f>IF(A103="","",IFERROR(INDEX(Testes!$N$2:$N$500,MATCH(A103,Testes!$A$2:$A$500,0)),""))</f>
        <v/>
      </c>
      <c r="G103" s="8">
        <f>IF(F103="ocorrência","VP",IF(F103="sem ocorrência","FP",""))</f>
        <v/>
      </c>
      <c r="H103" s="7" t="n"/>
      <c r="I103" s="8">
        <f>IF(H103&lt;&gt;"",H103,G103)</f>
        <v/>
      </c>
    </row>
    <row r="104">
      <c r="A104" s="9" t="n"/>
      <c r="B104" s="9" t="n"/>
      <c r="C104" s="9" t="n"/>
      <c r="D104" s="9" t="n"/>
      <c r="E104" s="9" t="n"/>
      <c r="F104" s="8">
        <f>IF(A104="","",IFERROR(INDEX(Testes!$N$2:$N$500,MATCH(A104,Testes!$A$2:$A$500,0)),""))</f>
        <v/>
      </c>
      <c r="G104" s="8">
        <f>IF(F104="ocorrência","VP",IF(F104="sem ocorrência","FP",""))</f>
        <v/>
      </c>
      <c r="H104" s="7" t="n"/>
      <c r="I104" s="8">
        <f>IF(H104&lt;&gt;"",H104,G104)</f>
        <v/>
      </c>
    </row>
    <row r="105">
      <c r="A105" s="9" t="n"/>
      <c r="B105" s="9" t="n"/>
      <c r="C105" s="9" t="n"/>
      <c r="D105" s="9" t="n"/>
      <c r="E105" s="9" t="n"/>
      <c r="F105" s="8">
        <f>IF(A105="","",IFERROR(INDEX(Testes!$N$2:$N$500,MATCH(A105,Testes!$A$2:$A$500,0)),""))</f>
        <v/>
      </c>
      <c r="G105" s="8">
        <f>IF(F105="ocorrência","VP",IF(F105="sem ocorrência","FP",""))</f>
        <v/>
      </c>
      <c r="H105" s="7" t="n"/>
      <c r="I105" s="8">
        <f>IF(H105&lt;&gt;"",H105,G105)</f>
        <v/>
      </c>
    </row>
    <row r="106">
      <c r="A106" s="9" t="n"/>
      <c r="B106" s="9" t="n"/>
      <c r="C106" s="9" t="n"/>
      <c r="D106" s="9" t="n"/>
      <c r="E106" s="9" t="n"/>
      <c r="F106" s="8">
        <f>IF(A106="","",IFERROR(INDEX(Testes!$N$2:$N$500,MATCH(A106,Testes!$A$2:$A$500,0)),""))</f>
        <v/>
      </c>
      <c r="G106" s="8">
        <f>IF(F106="ocorrência","VP",IF(F106="sem ocorrência","FP",""))</f>
        <v/>
      </c>
      <c r="H106" s="7" t="n"/>
      <c r="I106" s="8">
        <f>IF(H106&lt;&gt;"",H106,G106)</f>
        <v/>
      </c>
    </row>
    <row r="107">
      <c r="A107" s="9" t="n"/>
      <c r="B107" s="9" t="n"/>
      <c r="C107" s="9" t="n"/>
      <c r="D107" s="9" t="n"/>
      <c r="E107" s="9" t="n"/>
      <c r="F107" s="8">
        <f>IF(A107="","",IFERROR(INDEX(Testes!$N$2:$N$500,MATCH(A107,Testes!$A$2:$A$500,0)),""))</f>
        <v/>
      </c>
      <c r="G107" s="8">
        <f>IF(F107="ocorrência","VP",IF(F107="sem ocorrência","FP",""))</f>
        <v/>
      </c>
      <c r="H107" s="7" t="n"/>
      <c r="I107" s="8">
        <f>IF(H107&lt;&gt;"",H107,G107)</f>
        <v/>
      </c>
    </row>
    <row r="108">
      <c r="A108" s="9" t="n"/>
      <c r="B108" s="9" t="n"/>
      <c r="C108" s="9" t="n"/>
      <c r="D108" s="9" t="n"/>
      <c r="E108" s="9" t="n"/>
      <c r="F108" s="8">
        <f>IF(A108="","",IFERROR(INDEX(Testes!$N$2:$N$500,MATCH(A108,Testes!$A$2:$A$500,0)),""))</f>
        <v/>
      </c>
      <c r="G108" s="8">
        <f>IF(F108="ocorrência","VP",IF(F108="sem ocorrência","FP",""))</f>
        <v/>
      </c>
      <c r="H108" s="7" t="n"/>
      <c r="I108" s="8">
        <f>IF(H108&lt;&gt;"",H108,G108)</f>
        <v/>
      </c>
    </row>
    <row r="109">
      <c r="A109" s="9" t="n"/>
      <c r="B109" s="9" t="n"/>
      <c r="C109" s="9" t="n"/>
      <c r="D109" s="9" t="n"/>
      <c r="E109" s="9" t="n"/>
      <c r="F109" s="8">
        <f>IF(A109="","",IFERROR(INDEX(Testes!$N$2:$N$500,MATCH(A109,Testes!$A$2:$A$500,0)),""))</f>
        <v/>
      </c>
      <c r="G109" s="8">
        <f>IF(F109="ocorrência","VP",IF(F109="sem ocorrência","FP",""))</f>
        <v/>
      </c>
      <c r="H109" s="7" t="n"/>
      <c r="I109" s="8">
        <f>IF(H109&lt;&gt;"",H109,G109)</f>
        <v/>
      </c>
    </row>
    <row r="110">
      <c r="A110" s="9" t="n"/>
      <c r="B110" s="9" t="n"/>
      <c r="C110" s="9" t="n"/>
      <c r="D110" s="9" t="n"/>
      <c r="E110" s="9" t="n"/>
      <c r="F110" s="8">
        <f>IF(A110="","",IFERROR(INDEX(Testes!$N$2:$N$500,MATCH(A110,Testes!$A$2:$A$500,0)),""))</f>
        <v/>
      </c>
      <c r="G110" s="8">
        <f>IF(F110="ocorrência","VP",IF(F110="sem ocorrência","FP",""))</f>
        <v/>
      </c>
      <c r="H110" s="7" t="n"/>
      <c r="I110" s="8">
        <f>IF(H110&lt;&gt;"",H110,G110)</f>
        <v/>
      </c>
    </row>
    <row r="111">
      <c r="A111" s="9" t="n"/>
      <c r="B111" s="9" t="n"/>
      <c r="C111" s="9" t="n"/>
      <c r="D111" s="9" t="n"/>
      <c r="E111" s="9" t="n"/>
      <c r="F111" s="8">
        <f>IF(A111="","",IFERROR(INDEX(Testes!$N$2:$N$500,MATCH(A111,Testes!$A$2:$A$500,0)),""))</f>
        <v/>
      </c>
      <c r="G111" s="8">
        <f>IF(F111="ocorrência","VP",IF(F111="sem ocorrência","FP",""))</f>
        <v/>
      </c>
      <c r="H111" s="7" t="n"/>
      <c r="I111" s="8">
        <f>IF(H111&lt;&gt;"",H111,G111)</f>
        <v/>
      </c>
    </row>
    <row r="112">
      <c r="A112" s="9" t="n"/>
      <c r="B112" s="9" t="n"/>
      <c r="C112" s="9" t="n"/>
      <c r="D112" s="9" t="n"/>
      <c r="E112" s="9" t="n"/>
      <c r="F112" s="8">
        <f>IF(A112="","",IFERROR(INDEX(Testes!$N$2:$N$500,MATCH(A112,Testes!$A$2:$A$500,0)),""))</f>
        <v/>
      </c>
      <c r="G112" s="8">
        <f>IF(F112="ocorrência","VP",IF(F112="sem ocorrência","FP",""))</f>
        <v/>
      </c>
      <c r="H112" s="7" t="n"/>
      <c r="I112" s="8">
        <f>IF(H112&lt;&gt;"",H112,G112)</f>
        <v/>
      </c>
    </row>
    <row r="113">
      <c r="A113" s="9" t="n"/>
      <c r="B113" s="9" t="n"/>
      <c r="C113" s="9" t="n"/>
      <c r="D113" s="9" t="n"/>
      <c r="E113" s="9" t="n"/>
      <c r="F113" s="8">
        <f>IF(A113="","",IFERROR(INDEX(Testes!$N$2:$N$500,MATCH(A113,Testes!$A$2:$A$500,0)),""))</f>
        <v/>
      </c>
      <c r="G113" s="8">
        <f>IF(F113="ocorrência","VP",IF(F113="sem ocorrência","FP",""))</f>
        <v/>
      </c>
      <c r="H113" s="7" t="n"/>
      <c r="I113" s="8">
        <f>IF(H113&lt;&gt;"",H113,G113)</f>
        <v/>
      </c>
    </row>
    <row r="114">
      <c r="A114" s="9" t="n"/>
      <c r="B114" s="9" t="n"/>
      <c r="C114" s="9" t="n"/>
      <c r="D114" s="9" t="n"/>
      <c r="E114" s="9" t="n"/>
      <c r="F114" s="8">
        <f>IF(A114="","",IFERROR(INDEX(Testes!$N$2:$N$500,MATCH(A114,Testes!$A$2:$A$500,0)),""))</f>
        <v/>
      </c>
      <c r="G114" s="8">
        <f>IF(F114="ocorrência","VP",IF(F114="sem ocorrência","FP",""))</f>
        <v/>
      </c>
      <c r="H114" s="7" t="n"/>
      <c r="I114" s="8">
        <f>IF(H114&lt;&gt;"",H114,G114)</f>
        <v/>
      </c>
    </row>
    <row r="115">
      <c r="A115" s="9" t="n"/>
      <c r="B115" s="9" t="n"/>
      <c r="C115" s="9" t="n"/>
      <c r="D115" s="9" t="n"/>
      <c r="E115" s="9" t="n"/>
      <c r="F115" s="8">
        <f>IF(A115="","",IFERROR(INDEX(Testes!$N$2:$N$500,MATCH(A115,Testes!$A$2:$A$500,0)),""))</f>
        <v/>
      </c>
      <c r="G115" s="8">
        <f>IF(F115="ocorrência","VP",IF(F115="sem ocorrência","FP",""))</f>
        <v/>
      </c>
      <c r="H115" s="7" t="n"/>
      <c r="I115" s="8">
        <f>IF(H115&lt;&gt;"",H115,G115)</f>
        <v/>
      </c>
    </row>
    <row r="116">
      <c r="A116" s="9" t="n"/>
      <c r="B116" s="9" t="n"/>
      <c r="C116" s="9" t="n"/>
      <c r="D116" s="9" t="n"/>
      <c r="E116" s="9" t="n"/>
      <c r="F116" s="8">
        <f>IF(A116="","",IFERROR(INDEX(Testes!$N$2:$N$500,MATCH(A116,Testes!$A$2:$A$500,0)),""))</f>
        <v/>
      </c>
      <c r="G116" s="8">
        <f>IF(F116="ocorrência","VP",IF(F116="sem ocorrência","FP",""))</f>
        <v/>
      </c>
      <c r="H116" s="7" t="n"/>
      <c r="I116" s="8">
        <f>IF(H116&lt;&gt;"",H116,G116)</f>
        <v/>
      </c>
    </row>
    <row r="117">
      <c r="A117" s="9" t="n"/>
      <c r="B117" s="9" t="n"/>
      <c r="C117" s="9" t="n"/>
      <c r="D117" s="9" t="n"/>
      <c r="E117" s="9" t="n"/>
      <c r="F117" s="8">
        <f>IF(A117="","",IFERROR(INDEX(Testes!$N$2:$N$500,MATCH(A117,Testes!$A$2:$A$500,0)),""))</f>
        <v/>
      </c>
      <c r="G117" s="8">
        <f>IF(F117="ocorrência","VP",IF(F117="sem ocorrência","FP",""))</f>
        <v/>
      </c>
      <c r="H117" s="7" t="n"/>
      <c r="I117" s="8">
        <f>IF(H117&lt;&gt;"",H117,G117)</f>
        <v/>
      </c>
    </row>
    <row r="118">
      <c r="A118" s="9" t="n"/>
      <c r="B118" s="9" t="n"/>
      <c r="C118" s="9" t="n"/>
      <c r="D118" s="9" t="n"/>
      <c r="E118" s="9" t="n"/>
      <c r="F118" s="8">
        <f>IF(A118="","",IFERROR(INDEX(Testes!$N$2:$N$500,MATCH(A118,Testes!$A$2:$A$500,0)),""))</f>
        <v/>
      </c>
      <c r="G118" s="8">
        <f>IF(F118="ocorrência","VP",IF(F118="sem ocorrência","FP",""))</f>
        <v/>
      </c>
      <c r="H118" s="7" t="n"/>
      <c r="I118" s="8">
        <f>IF(H118&lt;&gt;"",H118,G118)</f>
        <v/>
      </c>
    </row>
    <row r="119">
      <c r="A119" s="9" t="n"/>
      <c r="B119" s="9" t="n"/>
      <c r="C119" s="9" t="n"/>
      <c r="D119" s="9" t="n"/>
      <c r="E119" s="9" t="n"/>
      <c r="F119" s="8">
        <f>IF(A119="","",IFERROR(INDEX(Testes!$N$2:$N$500,MATCH(A119,Testes!$A$2:$A$500,0)),""))</f>
        <v/>
      </c>
      <c r="G119" s="8">
        <f>IF(F119="ocorrência","VP",IF(F119="sem ocorrência","FP",""))</f>
        <v/>
      </c>
      <c r="H119" s="7" t="n"/>
      <c r="I119" s="8">
        <f>IF(H119&lt;&gt;"",H119,G119)</f>
        <v/>
      </c>
    </row>
    <row r="120">
      <c r="A120" s="9" t="n"/>
      <c r="B120" s="9" t="n"/>
      <c r="C120" s="9" t="n"/>
      <c r="D120" s="9" t="n"/>
      <c r="E120" s="9" t="n"/>
      <c r="F120" s="8">
        <f>IF(A120="","",IFERROR(INDEX(Testes!$N$2:$N$500,MATCH(A120,Testes!$A$2:$A$500,0)),""))</f>
        <v/>
      </c>
      <c r="G120" s="8">
        <f>IF(F120="ocorrência","VP",IF(F120="sem ocorrência","FP",""))</f>
        <v/>
      </c>
      <c r="H120" s="7" t="n"/>
      <c r="I120" s="8">
        <f>IF(H120&lt;&gt;"",H120,G120)</f>
        <v/>
      </c>
    </row>
    <row r="121">
      <c r="A121" s="9" t="n"/>
      <c r="B121" s="9" t="n"/>
      <c r="C121" s="9" t="n"/>
      <c r="D121" s="9" t="n"/>
      <c r="E121" s="9" t="n"/>
      <c r="F121" s="8">
        <f>IF(A121="","",IFERROR(INDEX(Testes!$N$2:$N$500,MATCH(A121,Testes!$A$2:$A$500,0)),""))</f>
        <v/>
      </c>
      <c r="G121" s="8">
        <f>IF(F121="ocorrência","VP",IF(F121="sem ocorrência","FP",""))</f>
        <v/>
      </c>
      <c r="H121" s="7" t="n"/>
      <c r="I121" s="8">
        <f>IF(H121&lt;&gt;"",H121,G121)</f>
        <v/>
      </c>
    </row>
    <row r="122">
      <c r="A122" s="9" t="n"/>
      <c r="B122" s="9" t="n"/>
      <c r="C122" s="9" t="n"/>
      <c r="D122" s="9" t="n"/>
      <c r="E122" s="9" t="n"/>
      <c r="F122" s="8">
        <f>IF(A122="","",IFERROR(INDEX(Testes!$N$2:$N$500,MATCH(A122,Testes!$A$2:$A$500,0)),""))</f>
        <v/>
      </c>
      <c r="G122" s="8">
        <f>IF(F122="ocorrência","VP",IF(F122="sem ocorrência","FP",""))</f>
        <v/>
      </c>
      <c r="H122" s="7" t="n"/>
      <c r="I122" s="8">
        <f>IF(H122&lt;&gt;"",H122,G122)</f>
        <v/>
      </c>
    </row>
    <row r="123">
      <c r="A123" s="9" t="n"/>
      <c r="B123" s="9" t="n"/>
      <c r="C123" s="9" t="n"/>
      <c r="D123" s="9" t="n"/>
      <c r="E123" s="9" t="n"/>
      <c r="F123" s="8">
        <f>IF(A123="","",IFERROR(INDEX(Testes!$N$2:$N$500,MATCH(A123,Testes!$A$2:$A$500,0)),""))</f>
        <v/>
      </c>
      <c r="G123" s="8">
        <f>IF(F123="ocorrência","VP",IF(F123="sem ocorrência","FP",""))</f>
        <v/>
      </c>
      <c r="H123" s="7" t="n"/>
      <c r="I123" s="8">
        <f>IF(H123&lt;&gt;"",H123,G123)</f>
        <v/>
      </c>
    </row>
    <row r="124">
      <c r="A124" s="9" t="n"/>
      <c r="B124" s="9" t="n"/>
      <c r="C124" s="9" t="n"/>
      <c r="D124" s="9" t="n"/>
      <c r="E124" s="9" t="n"/>
      <c r="F124" s="8">
        <f>IF(A124="","",IFERROR(INDEX(Testes!$N$2:$N$500,MATCH(A124,Testes!$A$2:$A$500,0)),""))</f>
        <v/>
      </c>
      <c r="G124" s="8">
        <f>IF(F124="ocorrência","VP",IF(F124="sem ocorrência","FP",""))</f>
        <v/>
      </c>
      <c r="H124" s="7" t="n"/>
      <c r="I124" s="8">
        <f>IF(H124&lt;&gt;"",H124,G124)</f>
        <v/>
      </c>
    </row>
    <row r="125">
      <c r="A125" s="9" t="n"/>
      <c r="B125" s="9" t="n"/>
      <c r="C125" s="9" t="n"/>
      <c r="D125" s="9" t="n"/>
      <c r="E125" s="9" t="n"/>
      <c r="F125" s="8">
        <f>IF(A125="","",IFERROR(INDEX(Testes!$N$2:$N$500,MATCH(A125,Testes!$A$2:$A$500,0)),""))</f>
        <v/>
      </c>
      <c r="G125" s="8">
        <f>IF(F125="ocorrência","VP",IF(F125="sem ocorrência","FP",""))</f>
        <v/>
      </c>
      <c r="H125" s="7" t="n"/>
      <c r="I125" s="8">
        <f>IF(H125&lt;&gt;"",H125,G125)</f>
        <v/>
      </c>
    </row>
    <row r="126">
      <c r="A126" s="9" t="n"/>
      <c r="B126" s="9" t="n"/>
      <c r="C126" s="9" t="n"/>
      <c r="D126" s="9" t="n"/>
      <c r="E126" s="9" t="n"/>
      <c r="F126" s="8">
        <f>IF(A126="","",IFERROR(INDEX(Testes!$N$2:$N$500,MATCH(A126,Testes!$A$2:$A$500,0)),""))</f>
        <v/>
      </c>
      <c r="G126" s="8">
        <f>IF(F126="ocorrência","VP",IF(F126="sem ocorrência","FP",""))</f>
        <v/>
      </c>
      <c r="H126" s="7" t="n"/>
      <c r="I126" s="8">
        <f>IF(H126&lt;&gt;"",H126,G126)</f>
        <v/>
      </c>
    </row>
    <row r="127">
      <c r="A127" s="9" t="n"/>
      <c r="B127" s="9" t="n"/>
      <c r="C127" s="9" t="n"/>
      <c r="D127" s="9" t="n"/>
      <c r="E127" s="9" t="n"/>
      <c r="F127" s="8">
        <f>IF(A127="","",IFERROR(INDEX(Testes!$N$2:$N$500,MATCH(A127,Testes!$A$2:$A$500,0)),""))</f>
        <v/>
      </c>
      <c r="G127" s="8">
        <f>IF(F127="ocorrência","VP",IF(F127="sem ocorrência","FP",""))</f>
        <v/>
      </c>
      <c r="H127" s="7" t="n"/>
      <c r="I127" s="8">
        <f>IF(H127&lt;&gt;"",H127,G127)</f>
        <v/>
      </c>
    </row>
    <row r="128">
      <c r="A128" s="9" t="n"/>
      <c r="B128" s="9" t="n"/>
      <c r="C128" s="9" t="n"/>
      <c r="D128" s="9" t="n"/>
      <c r="E128" s="9" t="n"/>
      <c r="F128" s="8">
        <f>IF(A128="","",IFERROR(INDEX(Testes!$N$2:$N$500,MATCH(A128,Testes!$A$2:$A$500,0)),""))</f>
        <v/>
      </c>
      <c r="G128" s="8">
        <f>IF(F128="ocorrência","VP",IF(F128="sem ocorrência","FP",""))</f>
        <v/>
      </c>
      <c r="H128" s="7" t="n"/>
      <c r="I128" s="8">
        <f>IF(H128&lt;&gt;"",H128,G128)</f>
        <v/>
      </c>
    </row>
    <row r="129">
      <c r="A129" s="9" t="n"/>
      <c r="B129" s="9" t="n"/>
      <c r="C129" s="9" t="n"/>
      <c r="D129" s="9" t="n"/>
      <c r="E129" s="9" t="n"/>
      <c r="F129" s="8">
        <f>IF(A129="","",IFERROR(INDEX(Testes!$N$2:$N$500,MATCH(A129,Testes!$A$2:$A$500,0)),""))</f>
        <v/>
      </c>
      <c r="G129" s="8">
        <f>IF(F129="ocorrência","VP",IF(F129="sem ocorrência","FP",""))</f>
        <v/>
      </c>
      <c r="H129" s="7" t="n"/>
      <c r="I129" s="8">
        <f>IF(H129&lt;&gt;"",H129,G129)</f>
        <v/>
      </c>
    </row>
    <row r="130">
      <c r="A130" s="9" t="n"/>
      <c r="B130" s="9" t="n"/>
      <c r="C130" s="9" t="n"/>
      <c r="D130" s="9" t="n"/>
      <c r="E130" s="9" t="n"/>
      <c r="F130" s="8">
        <f>IF(A130="","",IFERROR(INDEX(Testes!$N$2:$N$500,MATCH(A130,Testes!$A$2:$A$500,0)),""))</f>
        <v/>
      </c>
      <c r="G130" s="8">
        <f>IF(F130="ocorrência","VP",IF(F130="sem ocorrência","FP",""))</f>
        <v/>
      </c>
      <c r="H130" s="7" t="n"/>
      <c r="I130" s="8">
        <f>IF(H130&lt;&gt;"",H130,G130)</f>
        <v/>
      </c>
    </row>
    <row r="131">
      <c r="A131" s="9" t="n"/>
      <c r="B131" s="9" t="n"/>
      <c r="C131" s="9" t="n"/>
      <c r="D131" s="9" t="n"/>
      <c r="E131" s="9" t="n"/>
      <c r="F131" s="8">
        <f>IF(A131="","",IFERROR(INDEX(Testes!$N$2:$N$500,MATCH(A131,Testes!$A$2:$A$500,0)),""))</f>
        <v/>
      </c>
      <c r="G131" s="8">
        <f>IF(F131="ocorrência","VP",IF(F131="sem ocorrência","FP",""))</f>
        <v/>
      </c>
      <c r="H131" s="7" t="n"/>
      <c r="I131" s="8">
        <f>IF(H131&lt;&gt;"",H131,G131)</f>
        <v/>
      </c>
    </row>
    <row r="132">
      <c r="A132" s="9" t="n"/>
      <c r="B132" s="9" t="n"/>
      <c r="C132" s="9" t="n"/>
      <c r="D132" s="9" t="n"/>
      <c r="E132" s="9" t="n"/>
      <c r="F132" s="8">
        <f>IF(A132="","",IFERROR(INDEX(Testes!$N$2:$N$500,MATCH(A132,Testes!$A$2:$A$500,0)),""))</f>
        <v/>
      </c>
      <c r="G132" s="8">
        <f>IF(F132="ocorrência","VP",IF(F132="sem ocorrência","FP",""))</f>
        <v/>
      </c>
      <c r="H132" s="7" t="n"/>
      <c r="I132" s="8">
        <f>IF(H132&lt;&gt;"",H132,G132)</f>
        <v/>
      </c>
    </row>
    <row r="133">
      <c r="A133" s="9" t="n"/>
      <c r="B133" s="9" t="n"/>
      <c r="C133" s="9" t="n"/>
      <c r="D133" s="9" t="n"/>
      <c r="E133" s="9" t="n"/>
      <c r="F133" s="8">
        <f>IF(A133="","",IFERROR(INDEX(Testes!$N$2:$N$500,MATCH(A133,Testes!$A$2:$A$500,0)),""))</f>
        <v/>
      </c>
      <c r="G133" s="8">
        <f>IF(F133="ocorrência","VP",IF(F133="sem ocorrência","FP",""))</f>
        <v/>
      </c>
      <c r="H133" s="7" t="n"/>
      <c r="I133" s="8">
        <f>IF(H133&lt;&gt;"",H133,G133)</f>
        <v/>
      </c>
    </row>
    <row r="134">
      <c r="A134" s="9" t="n"/>
      <c r="B134" s="9" t="n"/>
      <c r="C134" s="9" t="n"/>
      <c r="D134" s="9" t="n"/>
      <c r="E134" s="9" t="n"/>
      <c r="F134" s="8">
        <f>IF(A134="","",IFERROR(INDEX(Testes!$N$2:$N$500,MATCH(A134,Testes!$A$2:$A$500,0)),""))</f>
        <v/>
      </c>
      <c r="G134" s="8">
        <f>IF(F134="ocorrência","VP",IF(F134="sem ocorrência","FP",""))</f>
        <v/>
      </c>
      <c r="H134" s="7" t="n"/>
      <c r="I134" s="8">
        <f>IF(H134&lt;&gt;"",H134,G134)</f>
        <v/>
      </c>
    </row>
    <row r="135">
      <c r="A135" s="9" t="n"/>
      <c r="B135" s="9" t="n"/>
      <c r="C135" s="9" t="n"/>
      <c r="D135" s="9" t="n"/>
      <c r="E135" s="9" t="n"/>
      <c r="F135" s="8">
        <f>IF(A135="","",IFERROR(INDEX(Testes!$N$2:$N$500,MATCH(A135,Testes!$A$2:$A$500,0)),""))</f>
        <v/>
      </c>
      <c r="G135" s="8">
        <f>IF(F135="ocorrência","VP",IF(F135="sem ocorrência","FP",""))</f>
        <v/>
      </c>
      <c r="H135" s="7" t="n"/>
      <c r="I135" s="8">
        <f>IF(H135&lt;&gt;"",H135,G135)</f>
        <v/>
      </c>
    </row>
    <row r="136">
      <c r="A136" s="9" t="n"/>
      <c r="B136" s="9" t="n"/>
      <c r="C136" s="9" t="n"/>
      <c r="D136" s="9" t="n"/>
      <c r="E136" s="9" t="n"/>
      <c r="F136" s="8">
        <f>IF(A136="","",IFERROR(INDEX(Testes!$N$2:$N$500,MATCH(A136,Testes!$A$2:$A$500,0)),""))</f>
        <v/>
      </c>
      <c r="G136" s="8">
        <f>IF(F136="ocorrência","VP",IF(F136="sem ocorrência","FP",""))</f>
        <v/>
      </c>
      <c r="H136" s="7" t="n"/>
      <c r="I136" s="8">
        <f>IF(H136&lt;&gt;"",H136,G136)</f>
        <v/>
      </c>
    </row>
    <row r="137">
      <c r="A137" s="9" t="n"/>
      <c r="B137" s="9" t="n"/>
      <c r="C137" s="9" t="n"/>
      <c r="D137" s="9" t="n"/>
      <c r="E137" s="9" t="n"/>
      <c r="F137" s="8">
        <f>IF(A137="","",IFERROR(INDEX(Testes!$N$2:$N$500,MATCH(A137,Testes!$A$2:$A$500,0)),""))</f>
        <v/>
      </c>
      <c r="G137" s="8">
        <f>IF(F137="ocorrência","VP",IF(F137="sem ocorrência","FP",""))</f>
        <v/>
      </c>
      <c r="H137" s="7" t="n"/>
      <c r="I137" s="8">
        <f>IF(H137&lt;&gt;"",H137,G137)</f>
        <v/>
      </c>
    </row>
    <row r="138">
      <c r="A138" s="9" t="n"/>
      <c r="B138" s="9" t="n"/>
      <c r="C138" s="9" t="n"/>
      <c r="D138" s="9" t="n"/>
      <c r="E138" s="9" t="n"/>
      <c r="F138" s="8">
        <f>IF(A138="","",IFERROR(INDEX(Testes!$N$2:$N$500,MATCH(A138,Testes!$A$2:$A$500,0)),""))</f>
        <v/>
      </c>
      <c r="G138" s="8">
        <f>IF(F138="ocorrência","VP",IF(F138="sem ocorrência","FP",""))</f>
        <v/>
      </c>
      <c r="H138" s="7" t="n"/>
      <c r="I138" s="8">
        <f>IF(H138&lt;&gt;"",H138,G138)</f>
        <v/>
      </c>
    </row>
    <row r="139">
      <c r="A139" s="9" t="n"/>
      <c r="B139" s="9" t="n"/>
      <c r="C139" s="9" t="n"/>
      <c r="D139" s="9" t="n"/>
      <c r="E139" s="9" t="n"/>
      <c r="F139" s="8">
        <f>IF(A139="","",IFERROR(INDEX(Testes!$N$2:$N$500,MATCH(A139,Testes!$A$2:$A$500,0)),""))</f>
        <v/>
      </c>
      <c r="G139" s="8">
        <f>IF(F139="ocorrência","VP",IF(F139="sem ocorrência","FP",""))</f>
        <v/>
      </c>
      <c r="H139" s="7" t="n"/>
      <c r="I139" s="8">
        <f>IF(H139&lt;&gt;"",H139,G139)</f>
        <v/>
      </c>
    </row>
    <row r="140">
      <c r="A140" s="9" t="n"/>
      <c r="B140" s="9" t="n"/>
      <c r="C140" s="9" t="n"/>
      <c r="D140" s="9" t="n"/>
      <c r="E140" s="9" t="n"/>
      <c r="F140" s="8">
        <f>IF(A140="","",IFERROR(INDEX(Testes!$N$2:$N$500,MATCH(A140,Testes!$A$2:$A$500,0)),""))</f>
        <v/>
      </c>
      <c r="G140" s="8">
        <f>IF(F140="ocorrência","VP",IF(F140="sem ocorrência","FP",""))</f>
        <v/>
      </c>
      <c r="H140" s="7" t="n"/>
      <c r="I140" s="8">
        <f>IF(H140&lt;&gt;"",H140,G140)</f>
        <v/>
      </c>
    </row>
    <row r="141">
      <c r="A141" s="9" t="n"/>
      <c r="B141" s="9" t="n"/>
      <c r="C141" s="9" t="n"/>
      <c r="D141" s="9" t="n"/>
      <c r="E141" s="9" t="n"/>
      <c r="F141" s="8">
        <f>IF(A141="","",IFERROR(INDEX(Testes!$N$2:$N$500,MATCH(A141,Testes!$A$2:$A$500,0)),""))</f>
        <v/>
      </c>
      <c r="G141" s="8">
        <f>IF(F141="ocorrência","VP",IF(F141="sem ocorrência","FP",""))</f>
        <v/>
      </c>
      <c r="H141" s="7" t="n"/>
      <c r="I141" s="8">
        <f>IF(H141&lt;&gt;"",H141,G141)</f>
        <v/>
      </c>
    </row>
    <row r="142">
      <c r="A142" s="9" t="n"/>
      <c r="B142" s="9" t="n"/>
      <c r="C142" s="9" t="n"/>
      <c r="D142" s="9" t="n"/>
      <c r="E142" s="9" t="n"/>
      <c r="F142" s="8">
        <f>IF(A142="","",IFERROR(INDEX(Testes!$N$2:$N$500,MATCH(A142,Testes!$A$2:$A$500,0)),""))</f>
        <v/>
      </c>
      <c r="G142" s="8">
        <f>IF(F142="ocorrência","VP",IF(F142="sem ocorrência","FP",""))</f>
        <v/>
      </c>
      <c r="H142" s="7" t="n"/>
      <c r="I142" s="8">
        <f>IF(H142&lt;&gt;"",H142,G142)</f>
        <v/>
      </c>
    </row>
    <row r="143">
      <c r="A143" s="9" t="n"/>
      <c r="B143" s="9" t="n"/>
      <c r="C143" s="9" t="n"/>
      <c r="D143" s="9" t="n"/>
      <c r="E143" s="9" t="n"/>
      <c r="F143" s="8">
        <f>IF(A143="","",IFERROR(INDEX(Testes!$N$2:$N$500,MATCH(A143,Testes!$A$2:$A$500,0)),""))</f>
        <v/>
      </c>
      <c r="G143" s="8">
        <f>IF(F143="ocorrência","VP",IF(F143="sem ocorrência","FP",""))</f>
        <v/>
      </c>
      <c r="H143" s="7" t="n"/>
      <c r="I143" s="8">
        <f>IF(H143&lt;&gt;"",H143,G143)</f>
        <v/>
      </c>
    </row>
    <row r="144">
      <c r="A144" s="9" t="n"/>
      <c r="B144" s="9" t="n"/>
      <c r="C144" s="9" t="n"/>
      <c r="D144" s="9" t="n"/>
      <c r="E144" s="9" t="n"/>
      <c r="F144" s="8">
        <f>IF(A144="","",IFERROR(INDEX(Testes!$N$2:$N$500,MATCH(A144,Testes!$A$2:$A$500,0)),""))</f>
        <v/>
      </c>
      <c r="G144" s="8">
        <f>IF(F144="ocorrência","VP",IF(F144="sem ocorrência","FP",""))</f>
        <v/>
      </c>
      <c r="H144" s="7" t="n"/>
      <c r="I144" s="8">
        <f>IF(H144&lt;&gt;"",H144,G144)</f>
        <v/>
      </c>
    </row>
    <row r="145">
      <c r="A145" s="9" t="n"/>
      <c r="B145" s="9" t="n"/>
      <c r="C145" s="9" t="n"/>
      <c r="D145" s="9" t="n"/>
      <c r="E145" s="9" t="n"/>
      <c r="F145" s="8">
        <f>IF(A145="","",IFERROR(INDEX(Testes!$N$2:$N$500,MATCH(A145,Testes!$A$2:$A$500,0)),""))</f>
        <v/>
      </c>
      <c r="G145" s="8">
        <f>IF(F145="ocorrência","VP",IF(F145="sem ocorrência","FP",""))</f>
        <v/>
      </c>
      <c r="H145" s="7" t="n"/>
      <c r="I145" s="8">
        <f>IF(H145&lt;&gt;"",H145,G145)</f>
        <v/>
      </c>
    </row>
    <row r="146">
      <c r="A146" s="9" t="n"/>
      <c r="B146" s="9" t="n"/>
      <c r="C146" s="9" t="n"/>
      <c r="D146" s="9" t="n"/>
      <c r="E146" s="9" t="n"/>
      <c r="F146" s="8">
        <f>IF(A146="","",IFERROR(INDEX(Testes!$N$2:$N$500,MATCH(A146,Testes!$A$2:$A$500,0)),""))</f>
        <v/>
      </c>
      <c r="G146" s="8">
        <f>IF(F146="ocorrência","VP",IF(F146="sem ocorrência","FP",""))</f>
        <v/>
      </c>
      <c r="H146" s="7" t="n"/>
      <c r="I146" s="8">
        <f>IF(H146&lt;&gt;"",H146,G146)</f>
        <v/>
      </c>
    </row>
    <row r="147">
      <c r="A147" s="9" t="n"/>
      <c r="B147" s="9" t="n"/>
      <c r="C147" s="9" t="n"/>
      <c r="D147" s="9" t="n"/>
      <c r="E147" s="9" t="n"/>
      <c r="F147" s="8">
        <f>IF(A147="","",IFERROR(INDEX(Testes!$N$2:$N$500,MATCH(A147,Testes!$A$2:$A$500,0)),""))</f>
        <v/>
      </c>
      <c r="G147" s="8">
        <f>IF(F147="ocorrência","VP",IF(F147="sem ocorrência","FP",""))</f>
        <v/>
      </c>
      <c r="H147" s="7" t="n"/>
      <c r="I147" s="8">
        <f>IF(H147&lt;&gt;"",H147,G147)</f>
        <v/>
      </c>
    </row>
    <row r="148">
      <c r="A148" s="9" t="n"/>
      <c r="B148" s="9" t="n"/>
      <c r="C148" s="9" t="n"/>
      <c r="D148" s="9" t="n"/>
      <c r="E148" s="9" t="n"/>
      <c r="F148" s="8">
        <f>IF(A148="","",IFERROR(INDEX(Testes!$N$2:$N$500,MATCH(A148,Testes!$A$2:$A$500,0)),""))</f>
        <v/>
      </c>
      <c r="G148" s="8">
        <f>IF(F148="ocorrência","VP",IF(F148="sem ocorrência","FP",""))</f>
        <v/>
      </c>
      <c r="H148" s="7" t="n"/>
      <c r="I148" s="8">
        <f>IF(H148&lt;&gt;"",H148,G148)</f>
        <v/>
      </c>
    </row>
    <row r="149">
      <c r="A149" s="9" t="n"/>
      <c r="B149" s="9" t="n"/>
      <c r="C149" s="9" t="n"/>
      <c r="D149" s="9" t="n"/>
      <c r="E149" s="9" t="n"/>
      <c r="F149" s="8">
        <f>IF(A149="","",IFERROR(INDEX(Testes!$N$2:$N$500,MATCH(A149,Testes!$A$2:$A$500,0)),""))</f>
        <v/>
      </c>
      <c r="G149" s="8">
        <f>IF(F149="ocorrência","VP",IF(F149="sem ocorrência","FP",""))</f>
        <v/>
      </c>
      <c r="H149" s="7" t="n"/>
      <c r="I149" s="8">
        <f>IF(H149&lt;&gt;"",H149,G149)</f>
        <v/>
      </c>
    </row>
    <row r="150">
      <c r="A150" s="9" t="n"/>
      <c r="B150" s="9" t="n"/>
      <c r="C150" s="9" t="n"/>
      <c r="D150" s="9" t="n"/>
      <c r="E150" s="9" t="n"/>
      <c r="F150" s="8">
        <f>IF(A150="","",IFERROR(INDEX(Testes!$N$2:$N$500,MATCH(A150,Testes!$A$2:$A$500,0)),""))</f>
        <v/>
      </c>
      <c r="G150" s="8">
        <f>IF(F150="ocorrência","VP",IF(F150="sem ocorrência","FP",""))</f>
        <v/>
      </c>
      <c r="H150" s="7" t="n"/>
      <c r="I150" s="8">
        <f>IF(H150&lt;&gt;"",H150,G150)</f>
        <v/>
      </c>
    </row>
    <row r="151">
      <c r="A151" s="9" t="n"/>
      <c r="B151" s="9" t="n"/>
      <c r="C151" s="9" t="n"/>
      <c r="D151" s="9" t="n"/>
      <c r="E151" s="9" t="n"/>
      <c r="F151" s="8">
        <f>IF(A151="","",IFERROR(INDEX(Testes!$N$2:$N$500,MATCH(A151,Testes!$A$2:$A$500,0)),""))</f>
        <v/>
      </c>
      <c r="G151" s="8">
        <f>IF(F151="ocorrência","VP",IF(F151="sem ocorrência","FP",""))</f>
        <v/>
      </c>
      <c r="H151" s="7" t="n"/>
      <c r="I151" s="8">
        <f>IF(H151&lt;&gt;"",H151,G151)</f>
        <v/>
      </c>
    </row>
    <row r="152">
      <c r="A152" s="9" t="n"/>
      <c r="B152" s="9" t="n"/>
      <c r="C152" s="9" t="n"/>
      <c r="D152" s="9" t="n"/>
      <c r="E152" s="9" t="n"/>
      <c r="F152" s="8">
        <f>IF(A152="","",IFERROR(INDEX(Testes!$N$2:$N$500,MATCH(A152,Testes!$A$2:$A$500,0)),""))</f>
        <v/>
      </c>
      <c r="G152" s="8">
        <f>IF(F152="ocorrência","VP",IF(F152="sem ocorrência","FP",""))</f>
        <v/>
      </c>
      <c r="H152" s="7" t="n"/>
      <c r="I152" s="8">
        <f>IF(H152&lt;&gt;"",H152,G152)</f>
        <v/>
      </c>
    </row>
    <row r="153">
      <c r="A153" s="9" t="n"/>
      <c r="B153" s="9" t="n"/>
      <c r="C153" s="9" t="n"/>
      <c r="D153" s="9" t="n"/>
      <c r="E153" s="9" t="n"/>
      <c r="F153" s="8">
        <f>IF(A153="","",IFERROR(INDEX(Testes!$N$2:$N$500,MATCH(A153,Testes!$A$2:$A$500,0)),""))</f>
        <v/>
      </c>
      <c r="G153" s="8">
        <f>IF(F153="ocorrência","VP",IF(F153="sem ocorrência","FP",""))</f>
        <v/>
      </c>
      <c r="H153" s="7" t="n"/>
      <c r="I153" s="8">
        <f>IF(H153&lt;&gt;"",H153,G153)</f>
        <v/>
      </c>
    </row>
    <row r="154">
      <c r="A154" s="9" t="n"/>
      <c r="B154" s="9" t="n"/>
      <c r="C154" s="9" t="n"/>
      <c r="D154" s="9" t="n"/>
      <c r="E154" s="9" t="n"/>
      <c r="F154" s="8">
        <f>IF(A154="","",IFERROR(INDEX(Testes!$N$2:$N$500,MATCH(A154,Testes!$A$2:$A$500,0)),""))</f>
        <v/>
      </c>
      <c r="G154" s="8">
        <f>IF(F154="ocorrência","VP",IF(F154="sem ocorrência","FP",""))</f>
        <v/>
      </c>
      <c r="H154" s="7" t="n"/>
      <c r="I154" s="8">
        <f>IF(H154&lt;&gt;"",H154,G154)</f>
        <v/>
      </c>
    </row>
    <row r="155">
      <c r="A155" s="9" t="n"/>
      <c r="B155" s="9" t="n"/>
      <c r="C155" s="9" t="n"/>
      <c r="D155" s="9" t="n"/>
      <c r="E155" s="9" t="n"/>
      <c r="F155" s="8">
        <f>IF(A155="","",IFERROR(INDEX(Testes!$N$2:$N$500,MATCH(A155,Testes!$A$2:$A$500,0)),""))</f>
        <v/>
      </c>
      <c r="G155" s="8">
        <f>IF(F155="ocorrência","VP",IF(F155="sem ocorrência","FP",""))</f>
        <v/>
      </c>
      <c r="H155" s="7" t="n"/>
      <c r="I155" s="8">
        <f>IF(H155&lt;&gt;"",H155,G155)</f>
        <v/>
      </c>
    </row>
    <row r="156">
      <c r="A156" s="9" t="n"/>
      <c r="B156" s="9" t="n"/>
      <c r="C156" s="9" t="n"/>
      <c r="D156" s="9" t="n"/>
      <c r="E156" s="9" t="n"/>
      <c r="F156" s="8">
        <f>IF(A156="","",IFERROR(INDEX(Testes!$N$2:$N$500,MATCH(A156,Testes!$A$2:$A$500,0)),""))</f>
        <v/>
      </c>
      <c r="G156" s="8">
        <f>IF(F156="ocorrência","VP",IF(F156="sem ocorrência","FP",""))</f>
        <v/>
      </c>
      <c r="H156" s="7" t="n"/>
      <c r="I156" s="8">
        <f>IF(H156&lt;&gt;"",H156,G156)</f>
        <v/>
      </c>
    </row>
    <row r="157">
      <c r="A157" s="9" t="n"/>
      <c r="B157" s="9" t="n"/>
      <c r="C157" s="9" t="n"/>
      <c r="D157" s="9" t="n"/>
      <c r="E157" s="9" t="n"/>
      <c r="F157" s="8">
        <f>IF(A157="","",IFERROR(INDEX(Testes!$N$2:$N$500,MATCH(A157,Testes!$A$2:$A$500,0)),""))</f>
        <v/>
      </c>
      <c r="G157" s="8">
        <f>IF(F157="ocorrência","VP",IF(F157="sem ocorrência","FP",""))</f>
        <v/>
      </c>
      <c r="H157" s="7" t="n"/>
      <c r="I157" s="8">
        <f>IF(H157&lt;&gt;"",H157,G157)</f>
        <v/>
      </c>
    </row>
    <row r="158">
      <c r="A158" s="9" t="n"/>
      <c r="B158" s="9" t="n"/>
      <c r="C158" s="9" t="n"/>
      <c r="D158" s="9" t="n"/>
      <c r="E158" s="9" t="n"/>
      <c r="F158" s="8">
        <f>IF(A158="","",IFERROR(INDEX(Testes!$N$2:$N$500,MATCH(A158,Testes!$A$2:$A$500,0)),""))</f>
        <v/>
      </c>
      <c r="G158" s="8">
        <f>IF(F158="ocorrência","VP",IF(F158="sem ocorrência","FP",""))</f>
        <v/>
      </c>
      <c r="H158" s="7" t="n"/>
      <c r="I158" s="8">
        <f>IF(H158&lt;&gt;"",H158,G158)</f>
        <v/>
      </c>
    </row>
    <row r="159">
      <c r="A159" s="9" t="n"/>
      <c r="B159" s="9" t="n"/>
      <c r="C159" s="9" t="n"/>
      <c r="D159" s="9" t="n"/>
      <c r="E159" s="9" t="n"/>
      <c r="F159" s="8">
        <f>IF(A159="","",IFERROR(INDEX(Testes!$N$2:$N$500,MATCH(A159,Testes!$A$2:$A$500,0)),""))</f>
        <v/>
      </c>
      <c r="G159" s="8">
        <f>IF(F159="ocorrência","VP",IF(F159="sem ocorrência","FP",""))</f>
        <v/>
      </c>
      <c r="H159" s="7" t="n"/>
      <c r="I159" s="8">
        <f>IF(H159&lt;&gt;"",H159,G159)</f>
        <v/>
      </c>
    </row>
    <row r="160">
      <c r="A160" s="9" t="n"/>
      <c r="B160" s="9" t="n"/>
      <c r="C160" s="9" t="n"/>
      <c r="D160" s="9" t="n"/>
      <c r="E160" s="9" t="n"/>
      <c r="F160" s="8">
        <f>IF(A160="","",IFERROR(INDEX(Testes!$N$2:$N$500,MATCH(A160,Testes!$A$2:$A$500,0)),""))</f>
        <v/>
      </c>
      <c r="G160" s="8">
        <f>IF(F160="ocorrência","VP",IF(F160="sem ocorrência","FP",""))</f>
        <v/>
      </c>
      <c r="H160" s="7" t="n"/>
      <c r="I160" s="8">
        <f>IF(H160&lt;&gt;"",H160,G160)</f>
        <v/>
      </c>
    </row>
    <row r="161">
      <c r="A161" s="9" t="n"/>
      <c r="B161" s="9" t="n"/>
      <c r="C161" s="9" t="n"/>
      <c r="D161" s="9" t="n"/>
      <c r="E161" s="9" t="n"/>
      <c r="F161" s="8">
        <f>IF(A161="","",IFERROR(INDEX(Testes!$N$2:$N$500,MATCH(A161,Testes!$A$2:$A$500,0)),""))</f>
        <v/>
      </c>
      <c r="G161" s="8">
        <f>IF(F161="ocorrência","VP",IF(F161="sem ocorrência","FP",""))</f>
        <v/>
      </c>
      <c r="H161" s="7" t="n"/>
      <c r="I161" s="8">
        <f>IF(H161&lt;&gt;"",H161,G161)</f>
        <v/>
      </c>
    </row>
    <row r="162">
      <c r="A162" s="9" t="n"/>
      <c r="B162" s="9" t="n"/>
      <c r="C162" s="9" t="n"/>
      <c r="D162" s="9" t="n"/>
      <c r="E162" s="9" t="n"/>
      <c r="F162" s="8">
        <f>IF(A162="","",IFERROR(INDEX(Testes!$N$2:$N$500,MATCH(A162,Testes!$A$2:$A$500,0)),""))</f>
        <v/>
      </c>
      <c r="G162" s="8">
        <f>IF(F162="ocorrência","VP",IF(F162="sem ocorrência","FP",""))</f>
        <v/>
      </c>
      <c r="H162" s="7" t="n"/>
      <c r="I162" s="8">
        <f>IF(H162&lt;&gt;"",H162,G162)</f>
        <v/>
      </c>
    </row>
    <row r="163">
      <c r="A163" s="9" t="n"/>
      <c r="B163" s="9" t="n"/>
      <c r="C163" s="9" t="n"/>
      <c r="D163" s="9" t="n"/>
      <c r="E163" s="9" t="n"/>
      <c r="F163" s="8">
        <f>IF(A163="","",IFERROR(INDEX(Testes!$N$2:$N$500,MATCH(A163,Testes!$A$2:$A$500,0)),""))</f>
        <v/>
      </c>
      <c r="G163" s="8">
        <f>IF(F163="ocorrência","VP",IF(F163="sem ocorrência","FP",""))</f>
        <v/>
      </c>
      <c r="H163" s="7" t="n"/>
      <c r="I163" s="8">
        <f>IF(H163&lt;&gt;"",H163,G163)</f>
        <v/>
      </c>
    </row>
    <row r="164">
      <c r="A164" s="9" t="n"/>
      <c r="B164" s="9" t="n"/>
      <c r="C164" s="9" t="n"/>
      <c r="D164" s="9" t="n"/>
      <c r="E164" s="9" t="n"/>
      <c r="F164" s="8">
        <f>IF(A164="","",IFERROR(INDEX(Testes!$N$2:$N$500,MATCH(A164,Testes!$A$2:$A$500,0)),""))</f>
        <v/>
      </c>
      <c r="G164" s="8">
        <f>IF(F164="ocorrência","VP",IF(F164="sem ocorrência","FP",""))</f>
        <v/>
      </c>
      <c r="H164" s="7" t="n"/>
      <c r="I164" s="8">
        <f>IF(H164&lt;&gt;"",H164,G164)</f>
        <v/>
      </c>
    </row>
    <row r="165">
      <c r="A165" s="9" t="n"/>
      <c r="B165" s="9" t="n"/>
      <c r="C165" s="9" t="n"/>
      <c r="D165" s="9" t="n"/>
      <c r="E165" s="9" t="n"/>
      <c r="F165" s="8">
        <f>IF(A165="","",IFERROR(INDEX(Testes!$N$2:$N$500,MATCH(A165,Testes!$A$2:$A$500,0)),""))</f>
        <v/>
      </c>
      <c r="G165" s="8">
        <f>IF(F165="ocorrência","VP",IF(F165="sem ocorrência","FP",""))</f>
        <v/>
      </c>
      <c r="H165" s="7" t="n"/>
      <c r="I165" s="8">
        <f>IF(H165&lt;&gt;"",H165,G165)</f>
        <v/>
      </c>
    </row>
    <row r="166">
      <c r="A166" s="9" t="n"/>
      <c r="B166" s="9" t="n"/>
      <c r="C166" s="9" t="n"/>
      <c r="D166" s="9" t="n"/>
      <c r="E166" s="9" t="n"/>
      <c r="F166" s="8">
        <f>IF(A166="","",IFERROR(INDEX(Testes!$N$2:$N$500,MATCH(A166,Testes!$A$2:$A$500,0)),""))</f>
        <v/>
      </c>
      <c r="G166" s="8">
        <f>IF(F166="ocorrência","VP",IF(F166="sem ocorrência","FP",""))</f>
        <v/>
      </c>
      <c r="H166" s="7" t="n"/>
      <c r="I166" s="8">
        <f>IF(H166&lt;&gt;"",H166,G166)</f>
        <v/>
      </c>
    </row>
    <row r="167">
      <c r="A167" s="9" t="n"/>
      <c r="B167" s="9" t="n"/>
      <c r="C167" s="9" t="n"/>
      <c r="D167" s="9" t="n"/>
      <c r="E167" s="9" t="n"/>
      <c r="F167" s="8">
        <f>IF(A167="","",IFERROR(INDEX(Testes!$N$2:$N$500,MATCH(A167,Testes!$A$2:$A$500,0)),""))</f>
        <v/>
      </c>
      <c r="G167" s="8">
        <f>IF(F167="ocorrência","VP",IF(F167="sem ocorrência","FP",""))</f>
        <v/>
      </c>
      <c r="H167" s="7" t="n"/>
      <c r="I167" s="8">
        <f>IF(H167&lt;&gt;"",H167,G167)</f>
        <v/>
      </c>
    </row>
    <row r="168">
      <c r="A168" s="9" t="n"/>
      <c r="B168" s="9" t="n"/>
      <c r="C168" s="9" t="n"/>
      <c r="D168" s="9" t="n"/>
      <c r="E168" s="9" t="n"/>
      <c r="F168" s="8">
        <f>IF(A168="","",IFERROR(INDEX(Testes!$N$2:$N$500,MATCH(A168,Testes!$A$2:$A$500,0)),""))</f>
        <v/>
      </c>
      <c r="G168" s="8">
        <f>IF(F168="ocorrência","VP",IF(F168="sem ocorrência","FP",""))</f>
        <v/>
      </c>
      <c r="H168" s="7" t="n"/>
      <c r="I168" s="8">
        <f>IF(H168&lt;&gt;"",H168,G168)</f>
        <v/>
      </c>
    </row>
    <row r="169">
      <c r="A169" s="9" t="n"/>
      <c r="B169" s="9" t="n"/>
      <c r="C169" s="9" t="n"/>
      <c r="D169" s="9" t="n"/>
      <c r="E169" s="9" t="n"/>
      <c r="F169" s="8">
        <f>IF(A169="","",IFERROR(INDEX(Testes!$N$2:$N$500,MATCH(A169,Testes!$A$2:$A$500,0)),""))</f>
        <v/>
      </c>
      <c r="G169" s="8">
        <f>IF(F169="ocorrência","VP",IF(F169="sem ocorrência","FP",""))</f>
        <v/>
      </c>
      <c r="H169" s="7" t="n"/>
      <c r="I169" s="8">
        <f>IF(H169&lt;&gt;"",H169,G169)</f>
        <v/>
      </c>
    </row>
    <row r="170">
      <c r="A170" s="9" t="n"/>
      <c r="B170" s="9" t="n"/>
      <c r="C170" s="9" t="n"/>
      <c r="D170" s="9" t="n"/>
      <c r="E170" s="9" t="n"/>
      <c r="F170" s="8">
        <f>IF(A170="","",IFERROR(INDEX(Testes!$N$2:$N$500,MATCH(A170,Testes!$A$2:$A$500,0)),""))</f>
        <v/>
      </c>
      <c r="G170" s="8">
        <f>IF(F170="ocorrência","VP",IF(F170="sem ocorrência","FP",""))</f>
        <v/>
      </c>
      <c r="H170" s="7" t="n"/>
      <c r="I170" s="8">
        <f>IF(H170&lt;&gt;"",H170,G170)</f>
        <v/>
      </c>
    </row>
    <row r="171">
      <c r="A171" s="9" t="n"/>
      <c r="B171" s="9" t="n"/>
      <c r="C171" s="9" t="n"/>
      <c r="D171" s="9" t="n"/>
      <c r="E171" s="9" t="n"/>
      <c r="F171" s="8">
        <f>IF(A171="","",IFERROR(INDEX(Testes!$N$2:$N$500,MATCH(A171,Testes!$A$2:$A$500,0)),""))</f>
        <v/>
      </c>
      <c r="G171" s="8">
        <f>IF(F171="ocorrência","VP",IF(F171="sem ocorrência","FP",""))</f>
        <v/>
      </c>
      <c r="H171" s="7" t="n"/>
      <c r="I171" s="8">
        <f>IF(H171&lt;&gt;"",H171,G171)</f>
        <v/>
      </c>
    </row>
    <row r="172">
      <c r="A172" s="9" t="n"/>
      <c r="B172" s="9" t="n"/>
      <c r="C172" s="9" t="n"/>
      <c r="D172" s="9" t="n"/>
      <c r="E172" s="9" t="n"/>
      <c r="F172" s="8">
        <f>IF(A172="","",IFERROR(INDEX(Testes!$N$2:$N$500,MATCH(A172,Testes!$A$2:$A$500,0)),""))</f>
        <v/>
      </c>
      <c r="G172" s="8">
        <f>IF(F172="ocorrência","VP",IF(F172="sem ocorrência","FP",""))</f>
        <v/>
      </c>
      <c r="H172" s="7" t="n"/>
      <c r="I172" s="8">
        <f>IF(H172&lt;&gt;"",H172,G172)</f>
        <v/>
      </c>
    </row>
    <row r="173">
      <c r="A173" s="9" t="n"/>
      <c r="B173" s="9" t="n"/>
      <c r="C173" s="9" t="n"/>
      <c r="D173" s="9" t="n"/>
      <c r="E173" s="9" t="n"/>
      <c r="F173" s="8">
        <f>IF(A173="","",IFERROR(INDEX(Testes!$N$2:$N$500,MATCH(A173,Testes!$A$2:$A$500,0)),""))</f>
        <v/>
      </c>
      <c r="G173" s="8">
        <f>IF(F173="ocorrência","VP",IF(F173="sem ocorrência","FP",""))</f>
        <v/>
      </c>
      <c r="H173" s="7" t="n"/>
      <c r="I173" s="8">
        <f>IF(H173&lt;&gt;"",H173,G173)</f>
        <v/>
      </c>
    </row>
    <row r="174">
      <c r="A174" s="9" t="n"/>
      <c r="B174" s="9" t="n"/>
      <c r="C174" s="9" t="n"/>
      <c r="D174" s="9" t="n"/>
      <c r="E174" s="9" t="n"/>
      <c r="F174" s="8">
        <f>IF(A174="","",IFERROR(INDEX(Testes!$N$2:$N$500,MATCH(A174,Testes!$A$2:$A$500,0)),""))</f>
        <v/>
      </c>
      <c r="G174" s="8">
        <f>IF(F174="ocorrência","VP",IF(F174="sem ocorrência","FP",""))</f>
        <v/>
      </c>
      <c r="H174" s="7" t="n"/>
      <c r="I174" s="8">
        <f>IF(H174&lt;&gt;"",H174,G174)</f>
        <v/>
      </c>
    </row>
    <row r="175">
      <c r="A175" s="9" t="n"/>
      <c r="B175" s="9" t="n"/>
      <c r="C175" s="9" t="n"/>
      <c r="D175" s="9" t="n"/>
      <c r="E175" s="9" t="n"/>
      <c r="F175" s="8">
        <f>IF(A175="","",IFERROR(INDEX(Testes!$N$2:$N$500,MATCH(A175,Testes!$A$2:$A$500,0)),""))</f>
        <v/>
      </c>
      <c r="G175" s="8">
        <f>IF(F175="ocorrência","VP",IF(F175="sem ocorrência","FP",""))</f>
        <v/>
      </c>
      <c r="H175" s="7" t="n"/>
      <c r="I175" s="8">
        <f>IF(H175&lt;&gt;"",H175,G175)</f>
        <v/>
      </c>
    </row>
    <row r="176">
      <c r="A176" s="9" t="n"/>
      <c r="B176" s="9" t="n"/>
      <c r="C176" s="9" t="n"/>
      <c r="D176" s="9" t="n"/>
      <c r="E176" s="9" t="n"/>
      <c r="F176" s="8">
        <f>IF(A176="","",IFERROR(INDEX(Testes!$N$2:$N$500,MATCH(A176,Testes!$A$2:$A$500,0)),""))</f>
        <v/>
      </c>
      <c r="G176" s="8">
        <f>IF(F176="ocorrência","VP",IF(F176="sem ocorrência","FP",""))</f>
        <v/>
      </c>
      <c r="H176" s="7" t="n"/>
      <c r="I176" s="8">
        <f>IF(H176&lt;&gt;"",H176,G176)</f>
        <v/>
      </c>
    </row>
    <row r="177">
      <c r="A177" s="9" t="n"/>
      <c r="B177" s="9" t="n"/>
      <c r="C177" s="9" t="n"/>
      <c r="D177" s="9" t="n"/>
      <c r="E177" s="9" t="n"/>
      <c r="F177" s="8">
        <f>IF(A177="","",IFERROR(INDEX(Testes!$N$2:$N$500,MATCH(A177,Testes!$A$2:$A$500,0)),""))</f>
        <v/>
      </c>
      <c r="G177" s="8">
        <f>IF(F177="ocorrência","VP",IF(F177="sem ocorrência","FP",""))</f>
        <v/>
      </c>
      <c r="H177" s="7" t="n"/>
      <c r="I177" s="8">
        <f>IF(H177&lt;&gt;"",H177,G177)</f>
        <v/>
      </c>
    </row>
    <row r="178">
      <c r="A178" s="9" t="n"/>
      <c r="B178" s="9" t="n"/>
      <c r="C178" s="9" t="n"/>
      <c r="D178" s="9" t="n"/>
      <c r="E178" s="9" t="n"/>
      <c r="F178" s="8">
        <f>IF(A178="","",IFERROR(INDEX(Testes!$N$2:$N$500,MATCH(A178,Testes!$A$2:$A$500,0)),""))</f>
        <v/>
      </c>
      <c r="G178" s="8">
        <f>IF(F178="ocorrência","VP",IF(F178="sem ocorrência","FP",""))</f>
        <v/>
      </c>
      <c r="H178" s="7" t="n"/>
      <c r="I178" s="8">
        <f>IF(H178&lt;&gt;"",H178,G178)</f>
        <v/>
      </c>
    </row>
    <row r="179">
      <c r="A179" s="9" t="n"/>
      <c r="B179" s="9" t="n"/>
      <c r="C179" s="9" t="n"/>
      <c r="D179" s="9" t="n"/>
      <c r="E179" s="9" t="n"/>
      <c r="F179" s="8">
        <f>IF(A179="","",IFERROR(INDEX(Testes!$N$2:$N$500,MATCH(A179,Testes!$A$2:$A$500,0)),""))</f>
        <v/>
      </c>
      <c r="G179" s="8">
        <f>IF(F179="ocorrência","VP",IF(F179="sem ocorrência","FP",""))</f>
        <v/>
      </c>
      <c r="H179" s="7" t="n"/>
      <c r="I179" s="8">
        <f>IF(H179&lt;&gt;"",H179,G179)</f>
        <v/>
      </c>
    </row>
    <row r="180">
      <c r="A180" s="9" t="n"/>
      <c r="B180" s="9" t="n"/>
      <c r="C180" s="9" t="n"/>
      <c r="D180" s="9" t="n"/>
      <c r="E180" s="9" t="n"/>
      <c r="F180" s="8">
        <f>IF(A180="","",IFERROR(INDEX(Testes!$N$2:$N$500,MATCH(A180,Testes!$A$2:$A$500,0)),""))</f>
        <v/>
      </c>
      <c r="G180" s="8">
        <f>IF(F180="ocorrência","VP",IF(F180="sem ocorrência","FP",""))</f>
        <v/>
      </c>
      <c r="H180" s="7" t="n"/>
      <c r="I180" s="8">
        <f>IF(H180&lt;&gt;"",H180,G180)</f>
        <v/>
      </c>
    </row>
    <row r="181">
      <c r="A181" s="9" t="n"/>
      <c r="B181" s="9" t="n"/>
      <c r="C181" s="9" t="n"/>
      <c r="D181" s="9" t="n"/>
      <c r="E181" s="9" t="n"/>
      <c r="F181" s="8">
        <f>IF(A181="","",IFERROR(INDEX(Testes!$N$2:$N$500,MATCH(A181,Testes!$A$2:$A$500,0)),""))</f>
        <v/>
      </c>
      <c r="G181" s="8">
        <f>IF(F181="ocorrência","VP",IF(F181="sem ocorrência","FP",""))</f>
        <v/>
      </c>
      <c r="H181" s="7" t="n"/>
      <c r="I181" s="8">
        <f>IF(H181&lt;&gt;"",H181,G181)</f>
        <v/>
      </c>
    </row>
    <row r="182">
      <c r="A182" s="9" t="n"/>
      <c r="B182" s="9" t="n"/>
      <c r="C182" s="9" t="n"/>
      <c r="D182" s="9" t="n"/>
      <c r="E182" s="9" t="n"/>
      <c r="F182" s="8">
        <f>IF(A182="","",IFERROR(INDEX(Testes!$N$2:$N$500,MATCH(A182,Testes!$A$2:$A$500,0)),""))</f>
        <v/>
      </c>
      <c r="G182" s="8">
        <f>IF(F182="ocorrência","VP",IF(F182="sem ocorrência","FP",""))</f>
        <v/>
      </c>
      <c r="H182" s="7" t="n"/>
      <c r="I182" s="8">
        <f>IF(H182&lt;&gt;"",H182,G182)</f>
        <v/>
      </c>
    </row>
    <row r="183">
      <c r="A183" s="9" t="n"/>
      <c r="B183" s="9" t="n"/>
      <c r="C183" s="9" t="n"/>
      <c r="D183" s="9" t="n"/>
      <c r="E183" s="9" t="n"/>
      <c r="F183" s="8">
        <f>IF(A183="","",IFERROR(INDEX(Testes!$N$2:$N$500,MATCH(A183,Testes!$A$2:$A$500,0)),""))</f>
        <v/>
      </c>
      <c r="G183" s="8">
        <f>IF(F183="ocorrência","VP",IF(F183="sem ocorrência","FP",""))</f>
        <v/>
      </c>
      <c r="H183" s="7" t="n"/>
      <c r="I183" s="8">
        <f>IF(H183&lt;&gt;"",H183,G183)</f>
        <v/>
      </c>
    </row>
    <row r="184">
      <c r="A184" s="9" t="n"/>
      <c r="B184" s="9" t="n"/>
      <c r="C184" s="9" t="n"/>
      <c r="D184" s="9" t="n"/>
      <c r="E184" s="9" t="n"/>
      <c r="F184" s="8">
        <f>IF(A184="","",IFERROR(INDEX(Testes!$N$2:$N$500,MATCH(A184,Testes!$A$2:$A$500,0)),""))</f>
        <v/>
      </c>
      <c r="G184" s="8">
        <f>IF(F184="ocorrência","VP",IF(F184="sem ocorrência","FP",""))</f>
        <v/>
      </c>
      <c r="H184" s="7" t="n"/>
      <c r="I184" s="8">
        <f>IF(H184&lt;&gt;"",H184,G184)</f>
        <v/>
      </c>
    </row>
    <row r="185">
      <c r="A185" s="9" t="n"/>
      <c r="B185" s="9" t="n"/>
      <c r="C185" s="9" t="n"/>
      <c r="D185" s="9" t="n"/>
      <c r="E185" s="9" t="n"/>
      <c r="F185" s="8">
        <f>IF(A185="","",IFERROR(INDEX(Testes!$N$2:$N$500,MATCH(A185,Testes!$A$2:$A$500,0)),""))</f>
        <v/>
      </c>
      <c r="G185" s="8">
        <f>IF(F185="ocorrência","VP",IF(F185="sem ocorrência","FP",""))</f>
        <v/>
      </c>
      <c r="H185" s="7" t="n"/>
      <c r="I185" s="8">
        <f>IF(H185&lt;&gt;"",H185,G185)</f>
        <v/>
      </c>
    </row>
    <row r="186">
      <c r="A186" s="9" t="n"/>
      <c r="B186" s="9" t="n"/>
      <c r="C186" s="9" t="n"/>
      <c r="D186" s="9" t="n"/>
      <c r="E186" s="9" t="n"/>
      <c r="F186" s="8">
        <f>IF(A186="","",IFERROR(INDEX(Testes!$N$2:$N$500,MATCH(A186,Testes!$A$2:$A$500,0)),""))</f>
        <v/>
      </c>
      <c r="G186" s="8">
        <f>IF(F186="ocorrência","VP",IF(F186="sem ocorrência","FP",""))</f>
        <v/>
      </c>
      <c r="H186" s="7" t="n"/>
      <c r="I186" s="8">
        <f>IF(H186&lt;&gt;"",H186,G186)</f>
        <v/>
      </c>
    </row>
    <row r="187">
      <c r="A187" s="9" t="n"/>
      <c r="B187" s="9" t="n"/>
      <c r="C187" s="9" t="n"/>
      <c r="D187" s="9" t="n"/>
      <c r="E187" s="9" t="n"/>
      <c r="F187" s="8">
        <f>IF(A187="","",IFERROR(INDEX(Testes!$N$2:$N$500,MATCH(A187,Testes!$A$2:$A$500,0)),""))</f>
        <v/>
      </c>
      <c r="G187" s="8">
        <f>IF(F187="ocorrência","VP",IF(F187="sem ocorrência","FP",""))</f>
        <v/>
      </c>
      <c r="H187" s="7" t="n"/>
      <c r="I187" s="8">
        <f>IF(H187&lt;&gt;"",H187,G187)</f>
        <v/>
      </c>
    </row>
    <row r="188">
      <c r="A188" s="9" t="n"/>
      <c r="B188" s="9" t="n"/>
      <c r="C188" s="9" t="n"/>
      <c r="D188" s="9" t="n"/>
      <c r="E188" s="9" t="n"/>
      <c r="F188" s="8">
        <f>IF(A188="","",IFERROR(INDEX(Testes!$N$2:$N$500,MATCH(A188,Testes!$A$2:$A$500,0)),""))</f>
        <v/>
      </c>
      <c r="G188" s="8">
        <f>IF(F188="ocorrência","VP",IF(F188="sem ocorrência","FP",""))</f>
        <v/>
      </c>
      <c r="H188" s="7" t="n"/>
      <c r="I188" s="8">
        <f>IF(H188&lt;&gt;"",H188,G188)</f>
        <v/>
      </c>
    </row>
    <row r="189">
      <c r="A189" s="9" t="n"/>
      <c r="B189" s="9" t="n"/>
      <c r="C189" s="9" t="n"/>
      <c r="D189" s="9" t="n"/>
      <c r="E189" s="9" t="n"/>
      <c r="F189" s="8">
        <f>IF(A189="","",IFERROR(INDEX(Testes!$N$2:$N$500,MATCH(A189,Testes!$A$2:$A$500,0)),""))</f>
        <v/>
      </c>
      <c r="G189" s="8">
        <f>IF(F189="ocorrência","VP",IF(F189="sem ocorrência","FP",""))</f>
        <v/>
      </c>
      <c r="H189" s="7" t="n"/>
      <c r="I189" s="8">
        <f>IF(H189&lt;&gt;"",H189,G189)</f>
        <v/>
      </c>
    </row>
    <row r="190">
      <c r="A190" s="9" t="n"/>
      <c r="B190" s="9" t="n"/>
      <c r="C190" s="9" t="n"/>
      <c r="D190" s="9" t="n"/>
      <c r="E190" s="9" t="n"/>
      <c r="F190" s="8">
        <f>IF(A190="","",IFERROR(INDEX(Testes!$N$2:$N$500,MATCH(A190,Testes!$A$2:$A$500,0)),""))</f>
        <v/>
      </c>
      <c r="G190" s="8">
        <f>IF(F190="ocorrência","VP",IF(F190="sem ocorrência","FP",""))</f>
        <v/>
      </c>
      <c r="H190" s="7" t="n"/>
      <c r="I190" s="8">
        <f>IF(H190&lt;&gt;"",H190,G190)</f>
        <v/>
      </c>
    </row>
    <row r="191">
      <c r="A191" s="9" t="n"/>
      <c r="B191" s="9" t="n"/>
      <c r="C191" s="9" t="n"/>
      <c r="D191" s="9" t="n"/>
      <c r="E191" s="9" t="n"/>
      <c r="F191" s="8">
        <f>IF(A191="","",IFERROR(INDEX(Testes!$N$2:$N$500,MATCH(A191,Testes!$A$2:$A$500,0)),""))</f>
        <v/>
      </c>
      <c r="G191" s="8">
        <f>IF(F191="ocorrência","VP",IF(F191="sem ocorrência","FP",""))</f>
        <v/>
      </c>
      <c r="H191" s="7" t="n"/>
      <c r="I191" s="8">
        <f>IF(H191&lt;&gt;"",H191,G191)</f>
        <v/>
      </c>
    </row>
    <row r="192">
      <c r="A192" s="9" t="n"/>
      <c r="B192" s="9" t="n"/>
      <c r="C192" s="9" t="n"/>
      <c r="D192" s="9" t="n"/>
      <c r="E192" s="9" t="n"/>
      <c r="F192" s="8">
        <f>IF(A192="","",IFERROR(INDEX(Testes!$N$2:$N$500,MATCH(A192,Testes!$A$2:$A$500,0)),""))</f>
        <v/>
      </c>
      <c r="G192" s="8">
        <f>IF(F192="ocorrência","VP",IF(F192="sem ocorrência","FP",""))</f>
        <v/>
      </c>
      <c r="H192" s="7" t="n"/>
      <c r="I192" s="8">
        <f>IF(H192&lt;&gt;"",H192,G192)</f>
        <v/>
      </c>
    </row>
    <row r="193">
      <c r="A193" s="9" t="n"/>
      <c r="B193" s="9" t="n"/>
      <c r="C193" s="9" t="n"/>
      <c r="D193" s="9" t="n"/>
      <c r="E193" s="9" t="n"/>
      <c r="F193" s="8">
        <f>IF(A193="","",IFERROR(INDEX(Testes!$N$2:$N$500,MATCH(A193,Testes!$A$2:$A$500,0)),""))</f>
        <v/>
      </c>
      <c r="G193" s="8">
        <f>IF(F193="ocorrência","VP",IF(F193="sem ocorrência","FP",""))</f>
        <v/>
      </c>
      <c r="H193" s="7" t="n"/>
      <c r="I193" s="8">
        <f>IF(H193&lt;&gt;"",H193,G193)</f>
        <v/>
      </c>
    </row>
    <row r="194">
      <c r="A194" s="9" t="n"/>
      <c r="B194" s="9" t="n"/>
      <c r="C194" s="9" t="n"/>
      <c r="D194" s="9" t="n"/>
      <c r="E194" s="9" t="n"/>
      <c r="F194" s="8">
        <f>IF(A194="","",IFERROR(INDEX(Testes!$N$2:$N$500,MATCH(A194,Testes!$A$2:$A$500,0)),""))</f>
        <v/>
      </c>
      <c r="G194" s="8">
        <f>IF(F194="ocorrência","VP",IF(F194="sem ocorrência","FP",""))</f>
        <v/>
      </c>
      <c r="H194" s="7" t="n"/>
      <c r="I194" s="8">
        <f>IF(H194&lt;&gt;"",H194,G194)</f>
        <v/>
      </c>
    </row>
    <row r="195">
      <c r="A195" s="9" t="n"/>
      <c r="B195" s="9" t="n"/>
      <c r="C195" s="9" t="n"/>
      <c r="D195" s="9" t="n"/>
      <c r="E195" s="9" t="n"/>
      <c r="F195" s="8">
        <f>IF(A195="","",IFERROR(INDEX(Testes!$N$2:$N$500,MATCH(A195,Testes!$A$2:$A$500,0)),""))</f>
        <v/>
      </c>
      <c r="G195" s="8">
        <f>IF(F195="ocorrência","VP",IF(F195="sem ocorrência","FP",""))</f>
        <v/>
      </c>
      <c r="H195" s="7" t="n"/>
      <c r="I195" s="8">
        <f>IF(H195&lt;&gt;"",H195,G195)</f>
        <v/>
      </c>
    </row>
    <row r="196">
      <c r="A196" s="9" t="n"/>
      <c r="B196" s="9" t="n"/>
      <c r="C196" s="9" t="n"/>
      <c r="D196" s="9" t="n"/>
      <c r="E196" s="9" t="n"/>
      <c r="F196" s="8">
        <f>IF(A196="","",IFERROR(INDEX(Testes!$N$2:$N$500,MATCH(A196,Testes!$A$2:$A$500,0)),""))</f>
        <v/>
      </c>
      <c r="G196" s="8">
        <f>IF(F196="ocorrência","VP",IF(F196="sem ocorrência","FP",""))</f>
        <v/>
      </c>
      <c r="H196" s="7" t="n"/>
      <c r="I196" s="8">
        <f>IF(H196&lt;&gt;"",H196,G196)</f>
        <v/>
      </c>
    </row>
    <row r="197">
      <c r="A197" s="9" t="n"/>
      <c r="B197" s="9" t="n"/>
      <c r="C197" s="9" t="n"/>
      <c r="D197" s="9" t="n"/>
      <c r="E197" s="9" t="n"/>
      <c r="F197" s="8">
        <f>IF(A197="","",IFERROR(INDEX(Testes!$N$2:$N$500,MATCH(A197,Testes!$A$2:$A$500,0)),""))</f>
        <v/>
      </c>
      <c r="G197" s="8">
        <f>IF(F197="ocorrência","VP",IF(F197="sem ocorrência","FP",""))</f>
        <v/>
      </c>
      <c r="H197" s="7" t="n"/>
      <c r="I197" s="8">
        <f>IF(H197&lt;&gt;"",H197,G197)</f>
        <v/>
      </c>
    </row>
    <row r="198">
      <c r="A198" s="9" t="n"/>
      <c r="B198" s="9" t="n"/>
      <c r="C198" s="9" t="n"/>
      <c r="D198" s="9" t="n"/>
      <c r="E198" s="9" t="n"/>
      <c r="F198" s="8">
        <f>IF(A198="","",IFERROR(INDEX(Testes!$N$2:$N$500,MATCH(A198,Testes!$A$2:$A$500,0)),""))</f>
        <v/>
      </c>
      <c r="G198" s="8">
        <f>IF(F198="ocorrência","VP",IF(F198="sem ocorrência","FP",""))</f>
        <v/>
      </c>
      <c r="H198" s="7" t="n"/>
      <c r="I198" s="8">
        <f>IF(H198&lt;&gt;"",H198,G198)</f>
        <v/>
      </c>
    </row>
    <row r="199">
      <c r="A199" s="9" t="n"/>
      <c r="B199" s="9" t="n"/>
      <c r="C199" s="9" t="n"/>
      <c r="D199" s="9" t="n"/>
      <c r="E199" s="9" t="n"/>
      <c r="F199" s="8">
        <f>IF(A199="","",IFERROR(INDEX(Testes!$N$2:$N$500,MATCH(A199,Testes!$A$2:$A$500,0)),""))</f>
        <v/>
      </c>
      <c r="G199" s="8">
        <f>IF(F199="ocorrência","VP",IF(F199="sem ocorrência","FP",""))</f>
        <v/>
      </c>
      <c r="H199" s="7" t="n"/>
      <c r="I199" s="8">
        <f>IF(H199&lt;&gt;"",H199,G199)</f>
        <v/>
      </c>
    </row>
    <row r="200">
      <c r="A200" s="9" t="n"/>
      <c r="B200" s="9" t="n"/>
      <c r="C200" s="9" t="n"/>
      <c r="D200" s="9" t="n"/>
      <c r="E200" s="9" t="n"/>
      <c r="F200" s="8">
        <f>IF(A200="","",IFERROR(INDEX(Testes!$N$2:$N$500,MATCH(A200,Testes!$A$2:$A$500,0)),""))</f>
        <v/>
      </c>
      <c r="G200" s="8">
        <f>IF(F200="ocorrência","VP",IF(F200="sem ocorrência","FP",""))</f>
        <v/>
      </c>
      <c r="H200" s="7" t="n"/>
      <c r="I200" s="8">
        <f>IF(H200&lt;&gt;"",H200,G200)</f>
        <v/>
      </c>
    </row>
    <row r="201">
      <c r="A201" s="9" t="n"/>
      <c r="B201" s="9" t="n"/>
      <c r="C201" s="9" t="n"/>
      <c r="D201" s="9" t="n"/>
      <c r="E201" s="9" t="n"/>
      <c r="F201" s="8">
        <f>IF(A201="","",IFERROR(INDEX(Testes!$N$2:$N$500,MATCH(A201,Testes!$A$2:$A$500,0)),""))</f>
        <v/>
      </c>
      <c r="G201" s="8">
        <f>IF(F201="ocorrência","VP",IF(F201="sem ocorrência","FP",""))</f>
        <v/>
      </c>
      <c r="H201" s="7" t="n"/>
      <c r="I201" s="8">
        <f>IF(H201&lt;&gt;"",H201,G201)</f>
        <v/>
      </c>
    </row>
    <row r="202">
      <c r="A202" s="9" t="n"/>
      <c r="B202" s="9" t="n"/>
      <c r="C202" s="9" t="n"/>
      <c r="D202" s="9" t="n"/>
      <c r="E202" s="9" t="n"/>
      <c r="F202" s="8">
        <f>IF(A202="","",IFERROR(INDEX(Testes!$N$2:$N$500,MATCH(A202,Testes!$A$2:$A$500,0)),""))</f>
        <v/>
      </c>
      <c r="G202" s="8">
        <f>IF(F202="ocorrência","VP",IF(F202="sem ocorrência","FP",""))</f>
        <v/>
      </c>
      <c r="H202" s="7" t="n"/>
      <c r="I202" s="8">
        <f>IF(H202&lt;&gt;"",H202,G202)</f>
        <v/>
      </c>
    </row>
    <row r="203">
      <c r="A203" s="9" t="n"/>
      <c r="B203" s="9" t="n"/>
      <c r="C203" s="9" t="n"/>
      <c r="D203" s="9" t="n"/>
      <c r="E203" s="9" t="n"/>
      <c r="F203" s="8">
        <f>IF(A203="","",IFERROR(INDEX(Testes!$N$2:$N$500,MATCH(A203,Testes!$A$2:$A$500,0)),""))</f>
        <v/>
      </c>
      <c r="G203" s="8">
        <f>IF(F203="ocorrência","VP",IF(F203="sem ocorrência","FP",""))</f>
        <v/>
      </c>
      <c r="H203" s="7" t="n"/>
      <c r="I203" s="8">
        <f>IF(H203&lt;&gt;"",H203,G203)</f>
        <v/>
      </c>
    </row>
    <row r="204">
      <c r="A204" s="9" t="n"/>
      <c r="B204" s="9" t="n"/>
      <c r="C204" s="9" t="n"/>
      <c r="D204" s="9" t="n"/>
      <c r="E204" s="9" t="n"/>
      <c r="F204" s="8">
        <f>IF(A204="","",IFERROR(INDEX(Testes!$N$2:$N$500,MATCH(A204,Testes!$A$2:$A$500,0)),""))</f>
        <v/>
      </c>
      <c r="G204" s="8">
        <f>IF(F204="ocorrência","VP",IF(F204="sem ocorrência","FP",""))</f>
        <v/>
      </c>
      <c r="H204" s="7" t="n"/>
      <c r="I204" s="8">
        <f>IF(H204&lt;&gt;"",H204,G204)</f>
        <v/>
      </c>
    </row>
    <row r="205">
      <c r="A205" s="9" t="n"/>
      <c r="B205" s="9" t="n"/>
      <c r="C205" s="9" t="n"/>
      <c r="D205" s="9" t="n"/>
      <c r="E205" s="9" t="n"/>
      <c r="F205" s="8">
        <f>IF(A205="","",IFERROR(INDEX(Testes!$N$2:$N$500,MATCH(A205,Testes!$A$2:$A$500,0)),""))</f>
        <v/>
      </c>
      <c r="G205" s="8">
        <f>IF(F205="ocorrência","VP",IF(F205="sem ocorrência","FP",""))</f>
        <v/>
      </c>
      <c r="H205" s="7" t="n"/>
      <c r="I205" s="8">
        <f>IF(H205&lt;&gt;"",H205,G205)</f>
        <v/>
      </c>
    </row>
    <row r="206">
      <c r="A206" s="9" t="n"/>
      <c r="B206" s="9" t="n"/>
      <c r="C206" s="9" t="n"/>
      <c r="D206" s="9" t="n"/>
      <c r="E206" s="9" t="n"/>
      <c r="F206" s="8">
        <f>IF(A206="","",IFERROR(INDEX(Testes!$N$2:$N$500,MATCH(A206,Testes!$A$2:$A$500,0)),""))</f>
        <v/>
      </c>
      <c r="G206" s="8">
        <f>IF(F206="ocorrência","VP",IF(F206="sem ocorrência","FP",""))</f>
        <v/>
      </c>
      <c r="H206" s="7" t="n"/>
      <c r="I206" s="8">
        <f>IF(H206&lt;&gt;"",H206,G206)</f>
        <v/>
      </c>
    </row>
    <row r="207">
      <c r="A207" s="9" t="n"/>
      <c r="B207" s="9" t="n"/>
      <c r="C207" s="9" t="n"/>
      <c r="D207" s="9" t="n"/>
      <c r="E207" s="9" t="n"/>
      <c r="F207" s="8">
        <f>IF(A207="","",IFERROR(INDEX(Testes!$N$2:$N$500,MATCH(A207,Testes!$A$2:$A$500,0)),""))</f>
        <v/>
      </c>
      <c r="G207" s="8">
        <f>IF(F207="ocorrência","VP",IF(F207="sem ocorrência","FP",""))</f>
        <v/>
      </c>
      <c r="H207" s="7" t="n"/>
      <c r="I207" s="8">
        <f>IF(H207&lt;&gt;"",H207,G207)</f>
        <v/>
      </c>
    </row>
    <row r="208">
      <c r="A208" s="9" t="n"/>
      <c r="B208" s="9" t="n"/>
      <c r="C208" s="9" t="n"/>
      <c r="D208" s="9" t="n"/>
      <c r="E208" s="9" t="n"/>
      <c r="F208" s="8">
        <f>IF(A208="","",IFERROR(INDEX(Testes!$N$2:$N$500,MATCH(A208,Testes!$A$2:$A$500,0)),""))</f>
        <v/>
      </c>
      <c r="G208" s="8">
        <f>IF(F208="ocorrência","VP",IF(F208="sem ocorrência","FP",""))</f>
        <v/>
      </c>
      <c r="H208" s="7" t="n"/>
      <c r="I208" s="8">
        <f>IF(H208&lt;&gt;"",H208,G208)</f>
        <v/>
      </c>
    </row>
    <row r="209">
      <c r="A209" s="9" t="n"/>
      <c r="B209" s="9" t="n"/>
      <c r="C209" s="9" t="n"/>
      <c r="D209" s="9" t="n"/>
      <c r="E209" s="9" t="n"/>
      <c r="F209" s="8">
        <f>IF(A209="","",IFERROR(INDEX(Testes!$N$2:$N$500,MATCH(A209,Testes!$A$2:$A$500,0)),""))</f>
        <v/>
      </c>
      <c r="G209" s="8">
        <f>IF(F209="ocorrência","VP",IF(F209="sem ocorrência","FP",""))</f>
        <v/>
      </c>
      <c r="H209" s="7" t="n"/>
      <c r="I209" s="8">
        <f>IF(H209&lt;&gt;"",H209,G209)</f>
        <v/>
      </c>
    </row>
    <row r="210">
      <c r="A210" s="9" t="n"/>
      <c r="B210" s="9" t="n"/>
      <c r="C210" s="9" t="n"/>
      <c r="D210" s="9" t="n"/>
      <c r="E210" s="9" t="n"/>
      <c r="F210" s="8">
        <f>IF(A210="","",IFERROR(INDEX(Testes!$N$2:$N$500,MATCH(A210,Testes!$A$2:$A$500,0)),""))</f>
        <v/>
      </c>
      <c r="G210" s="8">
        <f>IF(F210="ocorrência","VP",IF(F210="sem ocorrência","FP",""))</f>
        <v/>
      </c>
      <c r="H210" s="7" t="n"/>
      <c r="I210" s="8">
        <f>IF(H210&lt;&gt;"",H210,G210)</f>
        <v/>
      </c>
    </row>
    <row r="211">
      <c r="A211" s="9" t="n"/>
      <c r="B211" s="9" t="n"/>
      <c r="C211" s="9" t="n"/>
      <c r="D211" s="9" t="n"/>
      <c r="E211" s="9" t="n"/>
      <c r="F211" s="8">
        <f>IF(A211="","",IFERROR(INDEX(Testes!$N$2:$N$500,MATCH(A211,Testes!$A$2:$A$500,0)),""))</f>
        <v/>
      </c>
      <c r="G211" s="8">
        <f>IF(F211="ocorrência","VP",IF(F211="sem ocorrência","FP",""))</f>
        <v/>
      </c>
      <c r="H211" s="7" t="n"/>
      <c r="I211" s="8">
        <f>IF(H211&lt;&gt;"",H211,G211)</f>
        <v/>
      </c>
    </row>
    <row r="212">
      <c r="A212" s="9" t="n"/>
      <c r="B212" s="9" t="n"/>
      <c r="C212" s="9" t="n"/>
      <c r="D212" s="9" t="n"/>
      <c r="E212" s="9" t="n"/>
      <c r="F212" s="8">
        <f>IF(A212="","",IFERROR(INDEX(Testes!$N$2:$N$500,MATCH(A212,Testes!$A$2:$A$500,0)),""))</f>
        <v/>
      </c>
      <c r="G212" s="8">
        <f>IF(F212="ocorrência","VP",IF(F212="sem ocorrência","FP",""))</f>
        <v/>
      </c>
      <c r="H212" s="7" t="n"/>
      <c r="I212" s="8">
        <f>IF(H212&lt;&gt;"",H212,G212)</f>
        <v/>
      </c>
    </row>
    <row r="213">
      <c r="A213" s="9" t="n"/>
      <c r="B213" s="9" t="n"/>
      <c r="C213" s="9" t="n"/>
      <c r="D213" s="9" t="n"/>
      <c r="E213" s="9" t="n"/>
      <c r="F213" s="8">
        <f>IF(A213="","",IFERROR(INDEX(Testes!$N$2:$N$500,MATCH(A213,Testes!$A$2:$A$500,0)),""))</f>
        <v/>
      </c>
      <c r="G213" s="8">
        <f>IF(F213="ocorrência","VP",IF(F213="sem ocorrência","FP",""))</f>
        <v/>
      </c>
      <c r="H213" s="7" t="n"/>
      <c r="I213" s="8">
        <f>IF(H213&lt;&gt;"",H213,G213)</f>
        <v/>
      </c>
    </row>
    <row r="214">
      <c r="A214" s="9" t="n"/>
      <c r="B214" s="9" t="n"/>
      <c r="C214" s="9" t="n"/>
      <c r="D214" s="9" t="n"/>
      <c r="E214" s="9" t="n"/>
      <c r="F214" s="8">
        <f>IF(A214="","",IFERROR(INDEX(Testes!$N$2:$N$500,MATCH(A214,Testes!$A$2:$A$500,0)),""))</f>
        <v/>
      </c>
      <c r="G214" s="8">
        <f>IF(F214="ocorrência","VP",IF(F214="sem ocorrência","FP",""))</f>
        <v/>
      </c>
      <c r="H214" s="7" t="n"/>
      <c r="I214" s="8">
        <f>IF(H214&lt;&gt;"",H214,G214)</f>
        <v/>
      </c>
    </row>
    <row r="215">
      <c r="A215" s="9" t="n"/>
      <c r="B215" s="9" t="n"/>
      <c r="C215" s="9" t="n"/>
      <c r="D215" s="9" t="n"/>
      <c r="E215" s="9" t="n"/>
      <c r="F215" s="8">
        <f>IF(A215="","",IFERROR(INDEX(Testes!$N$2:$N$500,MATCH(A215,Testes!$A$2:$A$500,0)),""))</f>
        <v/>
      </c>
      <c r="G215" s="8">
        <f>IF(F215="ocorrência","VP",IF(F215="sem ocorrência","FP",""))</f>
        <v/>
      </c>
      <c r="H215" s="7" t="n"/>
      <c r="I215" s="8">
        <f>IF(H215&lt;&gt;"",H215,G215)</f>
        <v/>
      </c>
    </row>
    <row r="216">
      <c r="A216" s="9" t="n"/>
      <c r="B216" s="9" t="n"/>
      <c r="C216" s="9" t="n"/>
      <c r="D216" s="9" t="n"/>
      <c r="E216" s="9" t="n"/>
      <c r="F216" s="8">
        <f>IF(A216="","",IFERROR(INDEX(Testes!$N$2:$N$500,MATCH(A216,Testes!$A$2:$A$500,0)),""))</f>
        <v/>
      </c>
      <c r="G216" s="8">
        <f>IF(F216="ocorrência","VP",IF(F216="sem ocorrência","FP",""))</f>
        <v/>
      </c>
      <c r="H216" s="7" t="n"/>
      <c r="I216" s="8">
        <f>IF(H216&lt;&gt;"",H216,G216)</f>
        <v/>
      </c>
    </row>
    <row r="217">
      <c r="A217" s="9" t="n"/>
      <c r="B217" s="9" t="n"/>
      <c r="C217" s="9" t="n"/>
      <c r="D217" s="9" t="n"/>
      <c r="E217" s="9" t="n"/>
      <c r="F217" s="8">
        <f>IF(A217="","",IFERROR(INDEX(Testes!$N$2:$N$500,MATCH(A217,Testes!$A$2:$A$500,0)),""))</f>
        <v/>
      </c>
      <c r="G217" s="8">
        <f>IF(F217="ocorrência","VP",IF(F217="sem ocorrência","FP",""))</f>
        <v/>
      </c>
      <c r="H217" s="7" t="n"/>
      <c r="I217" s="8">
        <f>IF(H217&lt;&gt;"",H217,G217)</f>
        <v/>
      </c>
    </row>
    <row r="218">
      <c r="A218" s="9" t="n"/>
      <c r="B218" s="9" t="n"/>
      <c r="C218" s="9" t="n"/>
      <c r="D218" s="9" t="n"/>
      <c r="E218" s="9" t="n"/>
      <c r="F218" s="8">
        <f>IF(A218="","",IFERROR(INDEX(Testes!$N$2:$N$500,MATCH(A218,Testes!$A$2:$A$500,0)),""))</f>
        <v/>
      </c>
      <c r="G218" s="8">
        <f>IF(F218="ocorrência","VP",IF(F218="sem ocorrência","FP",""))</f>
        <v/>
      </c>
      <c r="H218" s="7" t="n"/>
      <c r="I218" s="8">
        <f>IF(H218&lt;&gt;"",H218,G218)</f>
        <v/>
      </c>
    </row>
    <row r="219">
      <c r="A219" s="9" t="n"/>
      <c r="B219" s="9" t="n"/>
      <c r="C219" s="9" t="n"/>
      <c r="D219" s="9" t="n"/>
      <c r="E219" s="9" t="n"/>
      <c r="F219" s="8">
        <f>IF(A219="","",IFERROR(INDEX(Testes!$N$2:$N$500,MATCH(A219,Testes!$A$2:$A$500,0)),""))</f>
        <v/>
      </c>
      <c r="G219" s="8">
        <f>IF(F219="ocorrência","VP",IF(F219="sem ocorrência","FP",""))</f>
        <v/>
      </c>
      <c r="H219" s="7" t="n"/>
      <c r="I219" s="8">
        <f>IF(H219&lt;&gt;"",H219,G219)</f>
        <v/>
      </c>
    </row>
    <row r="220">
      <c r="A220" s="9" t="n"/>
      <c r="B220" s="9" t="n"/>
      <c r="C220" s="9" t="n"/>
      <c r="D220" s="9" t="n"/>
      <c r="E220" s="9" t="n"/>
      <c r="F220" s="8">
        <f>IF(A220="","",IFERROR(INDEX(Testes!$N$2:$N$500,MATCH(A220,Testes!$A$2:$A$500,0)),""))</f>
        <v/>
      </c>
      <c r="G220" s="8">
        <f>IF(F220="ocorrência","VP",IF(F220="sem ocorrência","FP",""))</f>
        <v/>
      </c>
      <c r="H220" s="7" t="n"/>
      <c r="I220" s="8">
        <f>IF(H220&lt;&gt;"",H220,G220)</f>
        <v/>
      </c>
    </row>
    <row r="221">
      <c r="A221" s="9" t="n"/>
      <c r="B221" s="9" t="n"/>
      <c r="C221" s="9" t="n"/>
      <c r="D221" s="9" t="n"/>
      <c r="E221" s="9" t="n"/>
      <c r="F221" s="8">
        <f>IF(A221="","",IFERROR(INDEX(Testes!$N$2:$N$500,MATCH(A221,Testes!$A$2:$A$500,0)),""))</f>
        <v/>
      </c>
      <c r="G221" s="8">
        <f>IF(F221="ocorrência","VP",IF(F221="sem ocorrência","FP",""))</f>
        <v/>
      </c>
      <c r="H221" s="7" t="n"/>
      <c r="I221" s="8">
        <f>IF(H221&lt;&gt;"",H221,G221)</f>
        <v/>
      </c>
    </row>
    <row r="222">
      <c r="A222" s="9" t="n"/>
      <c r="B222" s="9" t="n"/>
      <c r="C222" s="9" t="n"/>
      <c r="D222" s="9" t="n"/>
      <c r="E222" s="9" t="n"/>
      <c r="F222" s="8">
        <f>IF(A222="","",IFERROR(INDEX(Testes!$N$2:$N$500,MATCH(A222,Testes!$A$2:$A$500,0)),""))</f>
        <v/>
      </c>
      <c r="G222" s="8">
        <f>IF(F222="ocorrência","VP",IF(F222="sem ocorrência","FP",""))</f>
        <v/>
      </c>
      <c r="H222" s="7" t="n"/>
      <c r="I222" s="8">
        <f>IF(H222&lt;&gt;"",H222,G222)</f>
        <v/>
      </c>
    </row>
    <row r="223">
      <c r="A223" s="9" t="n"/>
      <c r="B223" s="9" t="n"/>
      <c r="C223" s="9" t="n"/>
      <c r="D223" s="9" t="n"/>
      <c r="E223" s="9" t="n"/>
      <c r="F223" s="8">
        <f>IF(A223="","",IFERROR(INDEX(Testes!$N$2:$N$500,MATCH(A223,Testes!$A$2:$A$500,0)),""))</f>
        <v/>
      </c>
      <c r="G223" s="8">
        <f>IF(F223="ocorrência","VP",IF(F223="sem ocorrência","FP",""))</f>
        <v/>
      </c>
      <c r="H223" s="7" t="n"/>
      <c r="I223" s="8">
        <f>IF(H223&lt;&gt;"",H223,G223)</f>
        <v/>
      </c>
    </row>
    <row r="224">
      <c r="A224" s="9" t="n"/>
      <c r="B224" s="9" t="n"/>
      <c r="C224" s="9" t="n"/>
      <c r="D224" s="9" t="n"/>
      <c r="E224" s="9" t="n"/>
      <c r="F224" s="8">
        <f>IF(A224="","",IFERROR(INDEX(Testes!$N$2:$N$500,MATCH(A224,Testes!$A$2:$A$500,0)),""))</f>
        <v/>
      </c>
      <c r="G224" s="8">
        <f>IF(F224="ocorrência","VP",IF(F224="sem ocorrência","FP",""))</f>
        <v/>
      </c>
      <c r="H224" s="7" t="n"/>
      <c r="I224" s="8">
        <f>IF(H224&lt;&gt;"",H224,G224)</f>
        <v/>
      </c>
    </row>
    <row r="225">
      <c r="A225" s="9" t="n"/>
      <c r="B225" s="9" t="n"/>
      <c r="C225" s="9" t="n"/>
      <c r="D225" s="9" t="n"/>
      <c r="E225" s="9" t="n"/>
      <c r="F225" s="8">
        <f>IF(A225="","",IFERROR(INDEX(Testes!$N$2:$N$500,MATCH(A225,Testes!$A$2:$A$500,0)),""))</f>
        <v/>
      </c>
      <c r="G225" s="8">
        <f>IF(F225="ocorrência","VP",IF(F225="sem ocorrência","FP",""))</f>
        <v/>
      </c>
      <c r="H225" s="7" t="n"/>
      <c r="I225" s="8">
        <f>IF(H225&lt;&gt;"",H225,G225)</f>
        <v/>
      </c>
    </row>
    <row r="226">
      <c r="A226" s="9" t="n"/>
      <c r="B226" s="9" t="n"/>
      <c r="C226" s="9" t="n"/>
      <c r="D226" s="9" t="n"/>
      <c r="E226" s="9" t="n"/>
      <c r="F226" s="8">
        <f>IF(A226="","",IFERROR(INDEX(Testes!$N$2:$N$500,MATCH(A226,Testes!$A$2:$A$500,0)),""))</f>
        <v/>
      </c>
      <c r="G226" s="8">
        <f>IF(F226="ocorrência","VP",IF(F226="sem ocorrência","FP",""))</f>
        <v/>
      </c>
      <c r="H226" s="7" t="n"/>
      <c r="I226" s="8">
        <f>IF(H226&lt;&gt;"",H226,G226)</f>
        <v/>
      </c>
    </row>
    <row r="227">
      <c r="A227" s="9" t="n"/>
      <c r="B227" s="9" t="n"/>
      <c r="C227" s="9" t="n"/>
      <c r="D227" s="9" t="n"/>
      <c r="E227" s="9" t="n"/>
      <c r="F227" s="8">
        <f>IF(A227="","",IFERROR(INDEX(Testes!$N$2:$N$500,MATCH(A227,Testes!$A$2:$A$500,0)),""))</f>
        <v/>
      </c>
      <c r="G227" s="8">
        <f>IF(F227="ocorrência","VP",IF(F227="sem ocorrência","FP",""))</f>
        <v/>
      </c>
      <c r="H227" s="7" t="n"/>
      <c r="I227" s="8">
        <f>IF(H227&lt;&gt;"",H227,G227)</f>
        <v/>
      </c>
    </row>
    <row r="228">
      <c r="A228" s="9" t="n"/>
      <c r="B228" s="9" t="n"/>
      <c r="C228" s="9" t="n"/>
      <c r="D228" s="9" t="n"/>
      <c r="E228" s="9" t="n"/>
      <c r="F228" s="8">
        <f>IF(A228="","",IFERROR(INDEX(Testes!$N$2:$N$500,MATCH(A228,Testes!$A$2:$A$500,0)),""))</f>
        <v/>
      </c>
      <c r="G228" s="8">
        <f>IF(F228="ocorrência","VP",IF(F228="sem ocorrência","FP",""))</f>
        <v/>
      </c>
      <c r="H228" s="7" t="n"/>
      <c r="I228" s="8">
        <f>IF(H228&lt;&gt;"",H228,G228)</f>
        <v/>
      </c>
    </row>
    <row r="229">
      <c r="A229" s="9" t="n"/>
      <c r="B229" s="9" t="n"/>
      <c r="C229" s="9" t="n"/>
      <c r="D229" s="9" t="n"/>
      <c r="E229" s="9" t="n"/>
      <c r="F229" s="8">
        <f>IF(A229="","",IFERROR(INDEX(Testes!$N$2:$N$500,MATCH(A229,Testes!$A$2:$A$500,0)),""))</f>
        <v/>
      </c>
      <c r="G229" s="8">
        <f>IF(F229="ocorrência","VP",IF(F229="sem ocorrência","FP",""))</f>
        <v/>
      </c>
      <c r="H229" s="7" t="n"/>
      <c r="I229" s="8">
        <f>IF(H229&lt;&gt;"",H229,G229)</f>
        <v/>
      </c>
    </row>
    <row r="230">
      <c r="A230" s="9" t="n"/>
      <c r="B230" s="9" t="n"/>
      <c r="C230" s="9" t="n"/>
      <c r="D230" s="9" t="n"/>
      <c r="E230" s="9" t="n"/>
      <c r="F230" s="8">
        <f>IF(A230="","",IFERROR(INDEX(Testes!$N$2:$N$500,MATCH(A230,Testes!$A$2:$A$500,0)),""))</f>
        <v/>
      </c>
      <c r="G230" s="8">
        <f>IF(F230="ocorrência","VP",IF(F230="sem ocorrência","FP",""))</f>
        <v/>
      </c>
      <c r="H230" s="7" t="n"/>
      <c r="I230" s="8">
        <f>IF(H230&lt;&gt;"",H230,G230)</f>
        <v/>
      </c>
    </row>
    <row r="231">
      <c r="A231" s="9" t="n"/>
      <c r="B231" s="9" t="n"/>
      <c r="C231" s="9" t="n"/>
      <c r="D231" s="9" t="n"/>
      <c r="E231" s="9" t="n"/>
      <c r="F231" s="8">
        <f>IF(A231="","",IFERROR(INDEX(Testes!$N$2:$N$500,MATCH(A231,Testes!$A$2:$A$500,0)),""))</f>
        <v/>
      </c>
      <c r="G231" s="8">
        <f>IF(F231="ocorrência","VP",IF(F231="sem ocorrência","FP",""))</f>
        <v/>
      </c>
      <c r="H231" s="7" t="n"/>
      <c r="I231" s="8">
        <f>IF(H231&lt;&gt;"",H231,G231)</f>
        <v/>
      </c>
    </row>
    <row r="232">
      <c r="A232" s="9" t="n"/>
      <c r="B232" s="9" t="n"/>
      <c r="C232" s="9" t="n"/>
      <c r="D232" s="9" t="n"/>
      <c r="E232" s="9" t="n"/>
      <c r="F232" s="8">
        <f>IF(A232="","",IFERROR(INDEX(Testes!$N$2:$N$500,MATCH(A232,Testes!$A$2:$A$500,0)),""))</f>
        <v/>
      </c>
      <c r="G232" s="8">
        <f>IF(F232="ocorrência","VP",IF(F232="sem ocorrência","FP",""))</f>
        <v/>
      </c>
      <c r="H232" s="7" t="n"/>
      <c r="I232" s="8">
        <f>IF(H232&lt;&gt;"",H232,G232)</f>
        <v/>
      </c>
    </row>
    <row r="233">
      <c r="A233" s="9" t="n"/>
      <c r="B233" s="9" t="n"/>
      <c r="C233" s="9" t="n"/>
      <c r="D233" s="9" t="n"/>
      <c r="E233" s="9" t="n"/>
      <c r="F233" s="8">
        <f>IF(A233="","",IFERROR(INDEX(Testes!$N$2:$N$500,MATCH(A233,Testes!$A$2:$A$500,0)),""))</f>
        <v/>
      </c>
      <c r="G233" s="8">
        <f>IF(F233="ocorrência","VP",IF(F233="sem ocorrência","FP",""))</f>
        <v/>
      </c>
      <c r="H233" s="7" t="n"/>
      <c r="I233" s="8">
        <f>IF(H233&lt;&gt;"",H233,G233)</f>
        <v/>
      </c>
    </row>
    <row r="234">
      <c r="A234" s="9" t="n"/>
      <c r="B234" s="9" t="n"/>
      <c r="C234" s="9" t="n"/>
      <c r="D234" s="9" t="n"/>
      <c r="E234" s="9" t="n"/>
      <c r="F234" s="8">
        <f>IF(A234="","",IFERROR(INDEX(Testes!$N$2:$N$500,MATCH(A234,Testes!$A$2:$A$500,0)),""))</f>
        <v/>
      </c>
      <c r="G234" s="8">
        <f>IF(F234="ocorrência","VP",IF(F234="sem ocorrência","FP",""))</f>
        <v/>
      </c>
      <c r="H234" s="7" t="n"/>
      <c r="I234" s="8">
        <f>IF(H234&lt;&gt;"",H234,G234)</f>
        <v/>
      </c>
    </row>
    <row r="235">
      <c r="A235" s="9" t="n"/>
      <c r="B235" s="9" t="n"/>
      <c r="C235" s="9" t="n"/>
      <c r="D235" s="9" t="n"/>
      <c r="E235" s="9" t="n"/>
      <c r="F235" s="8">
        <f>IF(A235="","",IFERROR(INDEX(Testes!$N$2:$N$500,MATCH(A235,Testes!$A$2:$A$500,0)),""))</f>
        <v/>
      </c>
      <c r="G235" s="8">
        <f>IF(F235="ocorrência","VP",IF(F235="sem ocorrência","FP",""))</f>
        <v/>
      </c>
      <c r="H235" s="7" t="n"/>
      <c r="I235" s="8">
        <f>IF(H235&lt;&gt;"",H235,G235)</f>
        <v/>
      </c>
    </row>
    <row r="236">
      <c r="A236" s="9" t="n"/>
      <c r="B236" s="9" t="n"/>
      <c r="C236" s="9" t="n"/>
      <c r="D236" s="9" t="n"/>
      <c r="E236" s="9" t="n"/>
      <c r="F236" s="8">
        <f>IF(A236="","",IFERROR(INDEX(Testes!$N$2:$N$500,MATCH(A236,Testes!$A$2:$A$500,0)),""))</f>
        <v/>
      </c>
      <c r="G236" s="8">
        <f>IF(F236="ocorrência","VP",IF(F236="sem ocorrência","FP",""))</f>
        <v/>
      </c>
      <c r="H236" s="7" t="n"/>
      <c r="I236" s="8">
        <f>IF(H236&lt;&gt;"",H236,G236)</f>
        <v/>
      </c>
    </row>
    <row r="237">
      <c r="A237" s="9" t="n"/>
      <c r="B237" s="9" t="n"/>
      <c r="C237" s="9" t="n"/>
      <c r="D237" s="9" t="n"/>
      <c r="E237" s="9" t="n"/>
      <c r="F237" s="8">
        <f>IF(A237="","",IFERROR(INDEX(Testes!$N$2:$N$500,MATCH(A237,Testes!$A$2:$A$500,0)),""))</f>
        <v/>
      </c>
      <c r="G237" s="8">
        <f>IF(F237="ocorrência","VP",IF(F237="sem ocorrência","FP",""))</f>
        <v/>
      </c>
      <c r="H237" s="7" t="n"/>
      <c r="I237" s="8">
        <f>IF(H237&lt;&gt;"",H237,G237)</f>
        <v/>
      </c>
    </row>
    <row r="238">
      <c r="A238" s="9" t="n"/>
      <c r="B238" s="9" t="n"/>
      <c r="C238" s="9" t="n"/>
      <c r="D238" s="9" t="n"/>
      <c r="E238" s="9" t="n"/>
      <c r="F238" s="8">
        <f>IF(A238="","",IFERROR(INDEX(Testes!$N$2:$N$500,MATCH(A238,Testes!$A$2:$A$500,0)),""))</f>
        <v/>
      </c>
      <c r="G238" s="8">
        <f>IF(F238="ocorrência","VP",IF(F238="sem ocorrência","FP",""))</f>
        <v/>
      </c>
      <c r="H238" s="7" t="n"/>
      <c r="I238" s="8">
        <f>IF(H238&lt;&gt;"",H238,G238)</f>
        <v/>
      </c>
    </row>
    <row r="239">
      <c r="A239" s="9" t="n"/>
      <c r="B239" s="9" t="n"/>
      <c r="C239" s="9" t="n"/>
      <c r="D239" s="9" t="n"/>
      <c r="E239" s="9" t="n"/>
      <c r="F239" s="8">
        <f>IF(A239="","",IFERROR(INDEX(Testes!$N$2:$N$500,MATCH(A239,Testes!$A$2:$A$500,0)),""))</f>
        <v/>
      </c>
      <c r="G239" s="8">
        <f>IF(F239="ocorrência","VP",IF(F239="sem ocorrência","FP",""))</f>
        <v/>
      </c>
      <c r="H239" s="7" t="n"/>
      <c r="I239" s="8">
        <f>IF(H239&lt;&gt;"",H239,G239)</f>
        <v/>
      </c>
    </row>
    <row r="240">
      <c r="A240" s="9" t="n"/>
      <c r="B240" s="9" t="n"/>
      <c r="C240" s="9" t="n"/>
      <c r="D240" s="9" t="n"/>
      <c r="E240" s="9" t="n"/>
      <c r="F240" s="8">
        <f>IF(A240="","",IFERROR(INDEX(Testes!$N$2:$N$500,MATCH(A240,Testes!$A$2:$A$500,0)),""))</f>
        <v/>
      </c>
      <c r="G240" s="8">
        <f>IF(F240="ocorrência","VP",IF(F240="sem ocorrência","FP",""))</f>
        <v/>
      </c>
      <c r="H240" s="7" t="n"/>
      <c r="I240" s="8">
        <f>IF(H240&lt;&gt;"",H240,G240)</f>
        <v/>
      </c>
    </row>
    <row r="241">
      <c r="A241" s="9" t="n"/>
      <c r="B241" s="9" t="n"/>
      <c r="C241" s="9" t="n"/>
      <c r="D241" s="9" t="n"/>
      <c r="E241" s="9" t="n"/>
      <c r="F241" s="8">
        <f>IF(A241="","",IFERROR(INDEX(Testes!$N$2:$N$500,MATCH(A241,Testes!$A$2:$A$500,0)),""))</f>
        <v/>
      </c>
      <c r="G241" s="8">
        <f>IF(F241="ocorrência","VP",IF(F241="sem ocorrência","FP",""))</f>
        <v/>
      </c>
      <c r="H241" s="7" t="n"/>
      <c r="I241" s="8">
        <f>IF(H241&lt;&gt;"",H241,G241)</f>
        <v/>
      </c>
    </row>
    <row r="242">
      <c r="A242" s="9" t="n"/>
      <c r="B242" s="9" t="n"/>
      <c r="C242" s="9" t="n"/>
      <c r="D242" s="9" t="n"/>
      <c r="E242" s="9" t="n"/>
      <c r="F242" s="8">
        <f>IF(A242="","",IFERROR(INDEX(Testes!$N$2:$N$500,MATCH(A242,Testes!$A$2:$A$500,0)),""))</f>
        <v/>
      </c>
      <c r="G242" s="8">
        <f>IF(F242="ocorrência","VP",IF(F242="sem ocorrência","FP",""))</f>
        <v/>
      </c>
      <c r="H242" s="7" t="n"/>
      <c r="I242" s="8">
        <f>IF(H242&lt;&gt;"",H242,G242)</f>
        <v/>
      </c>
    </row>
    <row r="243">
      <c r="A243" s="9" t="n"/>
      <c r="B243" s="9" t="n"/>
      <c r="C243" s="9" t="n"/>
      <c r="D243" s="9" t="n"/>
      <c r="E243" s="9" t="n"/>
      <c r="F243" s="8">
        <f>IF(A243="","",IFERROR(INDEX(Testes!$N$2:$N$500,MATCH(A243,Testes!$A$2:$A$500,0)),""))</f>
        <v/>
      </c>
      <c r="G243" s="8">
        <f>IF(F243="ocorrência","VP",IF(F243="sem ocorrência","FP",""))</f>
        <v/>
      </c>
      <c r="H243" s="7" t="n"/>
      <c r="I243" s="8">
        <f>IF(H243&lt;&gt;"",H243,G243)</f>
        <v/>
      </c>
    </row>
    <row r="244">
      <c r="A244" s="9" t="n"/>
      <c r="B244" s="9" t="n"/>
      <c r="C244" s="9" t="n"/>
      <c r="D244" s="9" t="n"/>
      <c r="E244" s="9" t="n"/>
      <c r="F244" s="8">
        <f>IF(A244="","",IFERROR(INDEX(Testes!$N$2:$N$500,MATCH(A244,Testes!$A$2:$A$500,0)),""))</f>
        <v/>
      </c>
      <c r="G244" s="8">
        <f>IF(F244="ocorrência","VP",IF(F244="sem ocorrência","FP",""))</f>
        <v/>
      </c>
      <c r="H244" s="7" t="n"/>
      <c r="I244" s="8">
        <f>IF(H244&lt;&gt;"",H244,G244)</f>
        <v/>
      </c>
    </row>
    <row r="245">
      <c r="A245" s="9" t="n"/>
      <c r="B245" s="9" t="n"/>
      <c r="C245" s="9" t="n"/>
      <c r="D245" s="9" t="n"/>
      <c r="E245" s="9" t="n"/>
      <c r="F245" s="8">
        <f>IF(A245="","",IFERROR(INDEX(Testes!$N$2:$N$500,MATCH(A245,Testes!$A$2:$A$500,0)),""))</f>
        <v/>
      </c>
      <c r="G245" s="8">
        <f>IF(F245="ocorrência","VP",IF(F245="sem ocorrência","FP",""))</f>
        <v/>
      </c>
      <c r="H245" s="7" t="n"/>
      <c r="I245" s="8">
        <f>IF(H245&lt;&gt;"",H245,G245)</f>
        <v/>
      </c>
    </row>
    <row r="246">
      <c r="A246" s="9" t="n"/>
      <c r="B246" s="9" t="n"/>
      <c r="C246" s="9" t="n"/>
      <c r="D246" s="9" t="n"/>
      <c r="E246" s="9" t="n"/>
      <c r="F246" s="8">
        <f>IF(A246="","",IFERROR(INDEX(Testes!$N$2:$N$500,MATCH(A246,Testes!$A$2:$A$500,0)),""))</f>
        <v/>
      </c>
      <c r="G246" s="8">
        <f>IF(F246="ocorrência","VP",IF(F246="sem ocorrência","FP",""))</f>
        <v/>
      </c>
      <c r="H246" s="7" t="n"/>
      <c r="I246" s="8">
        <f>IF(H246&lt;&gt;"",H246,G246)</f>
        <v/>
      </c>
    </row>
    <row r="247">
      <c r="A247" s="9" t="n"/>
      <c r="B247" s="9" t="n"/>
      <c r="C247" s="9" t="n"/>
      <c r="D247" s="9" t="n"/>
      <c r="E247" s="9" t="n"/>
      <c r="F247" s="8">
        <f>IF(A247="","",IFERROR(INDEX(Testes!$N$2:$N$500,MATCH(A247,Testes!$A$2:$A$500,0)),""))</f>
        <v/>
      </c>
      <c r="G247" s="8">
        <f>IF(F247="ocorrência","VP",IF(F247="sem ocorrência","FP",""))</f>
        <v/>
      </c>
      <c r="H247" s="7" t="n"/>
      <c r="I247" s="8">
        <f>IF(H247&lt;&gt;"",H247,G247)</f>
        <v/>
      </c>
    </row>
    <row r="248">
      <c r="A248" s="9" t="n"/>
      <c r="B248" s="9" t="n"/>
      <c r="C248" s="9" t="n"/>
      <c r="D248" s="9" t="n"/>
      <c r="E248" s="9" t="n"/>
      <c r="F248" s="8">
        <f>IF(A248="","",IFERROR(INDEX(Testes!$N$2:$N$500,MATCH(A248,Testes!$A$2:$A$500,0)),""))</f>
        <v/>
      </c>
      <c r="G248" s="8">
        <f>IF(F248="ocorrência","VP",IF(F248="sem ocorrência","FP",""))</f>
        <v/>
      </c>
      <c r="H248" s="7" t="n"/>
      <c r="I248" s="8">
        <f>IF(H248&lt;&gt;"",H248,G248)</f>
        <v/>
      </c>
    </row>
    <row r="249">
      <c r="A249" s="9" t="n"/>
      <c r="B249" s="9" t="n"/>
      <c r="C249" s="9" t="n"/>
      <c r="D249" s="9" t="n"/>
      <c r="E249" s="9" t="n"/>
      <c r="F249" s="8">
        <f>IF(A249="","",IFERROR(INDEX(Testes!$N$2:$N$500,MATCH(A249,Testes!$A$2:$A$500,0)),""))</f>
        <v/>
      </c>
      <c r="G249" s="8">
        <f>IF(F249="ocorrência","VP",IF(F249="sem ocorrência","FP",""))</f>
        <v/>
      </c>
      <c r="H249" s="7" t="n"/>
      <c r="I249" s="8">
        <f>IF(H249&lt;&gt;"",H249,G249)</f>
        <v/>
      </c>
    </row>
    <row r="250">
      <c r="A250" s="9" t="n"/>
      <c r="B250" s="9" t="n"/>
      <c r="C250" s="9" t="n"/>
      <c r="D250" s="9" t="n"/>
      <c r="E250" s="9" t="n"/>
      <c r="F250" s="8">
        <f>IF(A250="","",IFERROR(INDEX(Testes!$N$2:$N$500,MATCH(A250,Testes!$A$2:$A$500,0)),""))</f>
        <v/>
      </c>
      <c r="G250" s="8">
        <f>IF(F250="ocorrência","VP",IF(F250="sem ocorrência","FP",""))</f>
        <v/>
      </c>
      <c r="H250" s="7" t="n"/>
      <c r="I250" s="8">
        <f>IF(H250&lt;&gt;"",H250,G250)</f>
        <v/>
      </c>
    </row>
    <row r="251">
      <c r="A251" s="9" t="n"/>
      <c r="B251" s="9" t="n"/>
      <c r="C251" s="9" t="n"/>
      <c r="D251" s="9" t="n"/>
      <c r="E251" s="9" t="n"/>
      <c r="F251" s="8">
        <f>IF(A251="","",IFERROR(INDEX(Testes!$N$2:$N$500,MATCH(A251,Testes!$A$2:$A$500,0)),""))</f>
        <v/>
      </c>
      <c r="G251" s="8">
        <f>IF(F251="ocorrência","VP",IF(F251="sem ocorrência","FP",""))</f>
        <v/>
      </c>
      <c r="H251" s="7" t="n"/>
      <c r="I251" s="8">
        <f>IF(H251&lt;&gt;"",H251,G251)</f>
        <v/>
      </c>
    </row>
    <row r="252">
      <c r="A252" s="9" t="n"/>
      <c r="B252" s="9" t="n"/>
      <c r="C252" s="9" t="n"/>
      <c r="D252" s="9" t="n"/>
      <c r="E252" s="9" t="n"/>
      <c r="F252" s="8">
        <f>IF(A252="","",IFERROR(INDEX(Testes!$N$2:$N$500,MATCH(A252,Testes!$A$2:$A$500,0)),""))</f>
        <v/>
      </c>
      <c r="G252" s="8">
        <f>IF(F252="ocorrência","VP",IF(F252="sem ocorrência","FP",""))</f>
        <v/>
      </c>
      <c r="H252" s="7" t="n"/>
      <c r="I252" s="8">
        <f>IF(H252&lt;&gt;"",H252,G252)</f>
        <v/>
      </c>
    </row>
    <row r="253">
      <c r="A253" s="9" t="n"/>
      <c r="B253" s="9" t="n"/>
      <c r="C253" s="9" t="n"/>
      <c r="D253" s="9" t="n"/>
      <c r="E253" s="9" t="n"/>
      <c r="F253" s="8">
        <f>IF(A253="","",IFERROR(INDEX(Testes!$N$2:$N$500,MATCH(A253,Testes!$A$2:$A$500,0)),""))</f>
        <v/>
      </c>
      <c r="G253" s="8">
        <f>IF(F253="ocorrência","VP",IF(F253="sem ocorrência","FP",""))</f>
        <v/>
      </c>
      <c r="H253" s="7" t="n"/>
      <c r="I253" s="8">
        <f>IF(H253&lt;&gt;"",H253,G253)</f>
        <v/>
      </c>
    </row>
    <row r="254">
      <c r="A254" s="9" t="n"/>
      <c r="B254" s="9" t="n"/>
      <c r="C254" s="9" t="n"/>
      <c r="D254" s="9" t="n"/>
      <c r="E254" s="9" t="n"/>
      <c r="F254" s="8">
        <f>IF(A254="","",IFERROR(INDEX(Testes!$N$2:$N$500,MATCH(A254,Testes!$A$2:$A$500,0)),""))</f>
        <v/>
      </c>
      <c r="G254" s="8">
        <f>IF(F254="ocorrência","VP",IF(F254="sem ocorrência","FP",""))</f>
        <v/>
      </c>
      <c r="H254" s="7" t="n"/>
      <c r="I254" s="8">
        <f>IF(H254&lt;&gt;"",H254,G254)</f>
        <v/>
      </c>
    </row>
    <row r="255">
      <c r="A255" s="9" t="n"/>
      <c r="B255" s="9" t="n"/>
      <c r="C255" s="9" t="n"/>
      <c r="D255" s="9" t="n"/>
      <c r="E255" s="9" t="n"/>
      <c r="F255" s="8">
        <f>IF(A255="","",IFERROR(INDEX(Testes!$N$2:$N$500,MATCH(A255,Testes!$A$2:$A$500,0)),""))</f>
        <v/>
      </c>
      <c r="G255" s="8">
        <f>IF(F255="ocorrência","VP",IF(F255="sem ocorrência","FP",""))</f>
        <v/>
      </c>
      <c r="H255" s="7" t="n"/>
      <c r="I255" s="8">
        <f>IF(H255&lt;&gt;"",H255,G255)</f>
        <v/>
      </c>
    </row>
    <row r="256">
      <c r="A256" s="9" t="n"/>
      <c r="B256" s="9" t="n"/>
      <c r="C256" s="9" t="n"/>
      <c r="D256" s="9" t="n"/>
      <c r="E256" s="9" t="n"/>
      <c r="F256" s="8">
        <f>IF(A256="","",IFERROR(INDEX(Testes!$N$2:$N$500,MATCH(A256,Testes!$A$2:$A$500,0)),""))</f>
        <v/>
      </c>
      <c r="G256" s="8">
        <f>IF(F256="ocorrência","VP",IF(F256="sem ocorrência","FP",""))</f>
        <v/>
      </c>
      <c r="H256" s="7" t="n"/>
      <c r="I256" s="8">
        <f>IF(H256&lt;&gt;"",H256,G256)</f>
        <v/>
      </c>
    </row>
    <row r="257">
      <c r="A257" s="9" t="n"/>
      <c r="B257" s="9" t="n"/>
      <c r="C257" s="9" t="n"/>
      <c r="D257" s="9" t="n"/>
      <c r="E257" s="9" t="n"/>
      <c r="F257" s="8">
        <f>IF(A257="","",IFERROR(INDEX(Testes!$N$2:$N$500,MATCH(A257,Testes!$A$2:$A$500,0)),""))</f>
        <v/>
      </c>
      <c r="G257" s="8">
        <f>IF(F257="ocorrência","VP",IF(F257="sem ocorrência","FP",""))</f>
        <v/>
      </c>
      <c r="H257" s="7" t="n"/>
      <c r="I257" s="8">
        <f>IF(H257&lt;&gt;"",H257,G257)</f>
        <v/>
      </c>
    </row>
    <row r="258">
      <c r="A258" s="9" t="n"/>
      <c r="B258" s="9" t="n"/>
      <c r="C258" s="9" t="n"/>
      <c r="D258" s="9" t="n"/>
      <c r="E258" s="9" t="n"/>
      <c r="F258" s="8">
        <f>IF(A258="","",IFERROR(INDEX(Testes!$N$2:$N$500,MATCH(A258,Testes!$A$2:$A$500,0)),""))</f>
        <v/>
      </c>
      <c r="G258" s="8">
        <f>IF(F258="ocorrência","VP",IF(F258="sem ocorrência","FP",""))</f>
        <v/>
      </c>
      <c r="H258" s="7" t="n"/>
      <c r="I258" s="8">
        <f>IF(H258&lt;&gt;"",H258,G258)</f>
        <v/>
      </c>
    </row>
    <row r="259">
      <c r="A259" s="9" t="n"/>
      <c r="B259" s="9" t="n"/>
      <c r="C259" s="9" t="n"/>
      <c r="D259" s="9" t="n"/>
      <c r="E259" s="9" t="n"/>
      <c r="F259" s="8">
        <f>IF(A259="","",IFERROR(INDEX(Testes!$N$2:$N$500,MATCH(A259,Testes!$A$2:$A$500,0)),""))</f>
        <v/>
      </c>
      <c r="G259" s="8">
        <f>IF(F259="ocorrência","VP",IF(F259="sem ocorrência","FP",""))</f>
        <v/>
      </c>
      <c r="H259" s="7" t="n"/>
      <c r="I259" s="8">
        <f>IF(H259&lt;&gt;"",H259,G259)</f>
        <v/>
      </c>
    </row>
    <row r="260">
      <c r="A260" s="9" t="n"/>
      <c r="B260" s="9" t="n"/>
      <c r="C260" s="9" t="n"/>
      <c r="D260" s="9" t="n"/>
      <c r="E260" s="9" t="n"/>
      <c r="F260" s="8">
        <f>IF(A260="","",IFERROR(INDEX(Testes!$N$2:$N$500,MATCH(A260,Testes!$A$2:$A$500,0)),""))</f>
        <v/>
      </c>
      <c r="G260" s="8">
        <f>IF(F260="ocorrência","VP",IF(F260="sem ocorrência","FP",""))</f>
        <v/>
      </c>
      <c r="H260" s="7" t="n"/>
      <c r="I260" s="8">
        <f>IF(H260&lt;&gt;"",H260,G260)</f>
        <v/>
      </c>
    </row>
    <row r="261">
      <c r="A261" s="9" t="n"/>
      <c r="B261" s="9" t="n"/>
      <c r="C261" s="9" t="n"/>
      <c r="D261" s="9" t="n"/>
      <c r="E261" s="9" t="n"/>
      <c r="F261" s="8">
        <f>IF(A261="","",IFERROR(INDEX(Testes!$N$2:$N$500,MATCH(A261,Testes!$A$2:$A$500,0)),""))</f>
        <v/>
      </c>
      <c r="G261" s="8">
        <f>IF(F261="ocorrência","VP",IF(F261="sem ocorrência","FP",""))</f>
        <v/>
      </c>
      <c r="H261" s="7" t="n"/>
      <c r="I261" s="8">
        <f>IF(H261&lt;&gt;"",H261,G261)</f>
        <v/>
      </c>
    </row>
    <row r="262">
      <c r="A262" s="9" t="n"/>
      <c r="B262" s="9" t="n"/>
      <c r="C262" s="9" t="n"/>
      <c r="D262" s="9" t="n"/>
      <c r="E262" s="9" t="n"/>
      <c r="F262" s="8">
        <f>IF(A262="","",IFERROR(INDEX(Testes!$N$2:$N$500,MATCH(A262,Testes!$A$2:$A$500,0)),""))</f>
        <v/>
      </c>
      <c r="G262" s="8">
        <f>IF(F262="ocorrência","VP",IF(F262="sem ocorrência","FP",""))</f>
        <v/>
      </c>
      <c r="H262" s="7" t="n"/>
      <c r="I262" s="8">
        <f>IF(H262&lt;&gt;"",H262,G262)</f>
        <v/>
      </c>
    </row>
    <row r="263">
      <c r="A263" s="9" t="n"/>
      <c r="B263" s="9" t="n"/>
      <c r="C263" s="9" t="n"/>
      <c r="D263" s="9" t="n"/>
      <c r="E263" s="9" t="n"/>
      <c r="F263" s="8">
        <f>IF(A263="","",IFERROR(INDEX(Testes!$N$2:$N$500,MATCH(A263,Testes!$A$2:$A$500,0)),""))</f>
        <v/>
      </c>
      <c r="G263" s="8">
        <f>IF(F263="ocorrência","VP",IF(F263="sem ocorrência","FP",""))</f>
        <v/>
      </c>
      <c r="H263" s="7" t="n"/>
      <c r="I263" s="8">
        <f>IF(H263&lt;&gt;"",H263,G263)</f>
        <v/>
      </c>
    </row>
    <row r="264">
      <c r="A264" s="9" t="n"/>
      <c r="B264" s="9" t="n"/>
      <c r="C264" s="9" t="n"/>
      <c r="D264" s="9" t="n"/>
      <c r="E264" s="9" t="n"/>
      <c r="F264" s="8">
        <f>IF(A264="","",IFERROR(INDEX(Testes!$N$2:$N$500,MATCH(A264,Testes!$A$2:$A$500,0)),""))</f>
        <v/>
      </c>
      <c r="G264" s="8">
        <f>IF(F264="ocorrência","VP",IF(F264="sem ocorrência","FP",""))</f>
        <v/>
      </c>
      <c r="H264" s="7" t="n"/>
      <c r="I264" s="8">
        <f>IF(H264&lt;&gt;"",H264,G264)</f>
        <v/>
      </c>
    </row>
    <row r="265">
      <c r="A265" s="9" t="n"/>
      <c r="B265" s="9" t="n"/>
      <c r="C265" s="9" t="n"/>
      <c r="D265" s="9" t="n"/>
      <c r="E265" s="9" t="n"/>
      <c r="F265" s="8">
        <f>IF(A265="","",IFERROR(INDEX(Testes!$N$2:$N$500,MATCH(A265,Testes!$A$2:$A$500,0)),""))</f>
        <v/>
      </c>
      <c r="G265" s="8">
        <f>IF(F265="ocorrência","VP",IF(F265="sem ocorrência","FP",""))</f>
        <v/>
      </c>
      <c r="H265" s="7" t="n"/>
      <c r="I265" s="8">
        <f>IF(H265&lt;&gt;"",H265,G265)</f>
        <v/>
      </c>
    </row>
    <row r="266">
      <c r="A266" s="9" t="n"/>
      <c r="B266" s="9" t="n"/>
      <c r="C266" s="9" t="n"/>
      <c r="D266" s="9" t="n"/>
      <c r="E266" s="9" t="n"/>
      <c r="F266" s="8">
        <f>IF(A266="","",IFERROR(INDEX(Testes!$N$2:$N$500,MATCH(A266,Testes!$A$2:$A$500,0)),""))</f>
        <v/>
      </c>
      <c r="G266" s="8">
        <f>IF(F266="ocorrência","VP",IF(F266="sem ocorrência","FP",""))</f>
        <v/>
      </c>
      <c r="H266" s="7" t="n"/>
      <c r="I266" s="8">
        <f>IF(H266&lt;&gt;"",H266,G266)</f>
        <v/>
      </c>
    </row>
    <row r="267">
      <c r="A267" s="9" t="n"/>
      <c r="B267" s="9" t="n"/>
      <c r="C267" s="9" t="n"/>
      <c r="D267" s="9" t="n"/>
      <c r="E267" s="9" t="n"/>
      <c r="F267" s="8">
        <f>IF(A267="","",IFERROR(INDEX(Testes!$N$2:$N$500,MATCH(A267,Testes!$A$2:$A$500,0)),""))</f>
        <v/>
      </c>
      <c r="G267" s="8">
        <f>IF(F267="ocorrência","VP",IF(F267="sem ocorrência","FP",""))</f>
        <v/>
      </c>
      <c r="H267" s="7" t="n"/>
      <c r="I267" s="8">
        <f>IF(H267&lt;&gt;"",H267,G267)</f>
        <v/>
      </c>
    </row>
    <row r="268">
      <c r="A268" s="9" t="n"/>
      <c r="B268" s="9" t="n"/>
      <c r="C268" s="9" t="n"/>
      <c r="D268" s="9" t="n"/>
      <c r="E268" s="9" t="n"/>
      <c r="F268" s="8">
        <f>IF(A268="","",IFERROR(INDEX(Testes!$N$2:$N$500,MATCH(A268,Testes!$A$2:$A$500,0)),""))</f>
        <v/>
      </c>
      <c r="G268" s="8">
        <f>IF(F268="ocorrência","VP",IF(F268="sem ocorrência","FP",""))</f>
        <v/>
      </c>
      <c r="H268" s="7" t="n"/>
      <c r="I268" s="8">
        <f>IF(H268&lt;&gt;"",H268,G268)</f>
        <v/>
      </c>
    </row>
    <row r="269">
      <c r="A269" s="9" t="n"/>
      <c r="B269" s="9" t="n"/>
      <c r="C269" s="9" t="n"/>
      <c r="D269" s="9" t="n"/>
      <c r="E269" s="9" t="n"/>
      <c r="F269" s="8">
        <f>IF(A269="","",IFERROR(INDEX(Testes!$N$2:$N$500,MATCH(A269,Testes!$A$2:$A$500,0)),""))</f>
        <v/>
      </c>
      <c r="G269" s="8">
        <f>IF(F269="ocorrência","VP",IF(F269="sem ocorrência","FP",""))</f>
        <v/>
      </c>
      <c r="H269" s="7" t="n"/>
      <c r="I269" s="8">
        <f>IF(H269&lt;&gt;"",H269,G269)</f>
        <v/>
      </c>
    </row>
    <row r="270">
      <c r="A270" s="9" t="n"/>
      <c r="B270" s="9" t="n"/>
      <c r="C270" s="9" t="n"/>
      <c r="D270" s="9" t="n"/>
      <c r="E270" s="9" t="n"/>
      <c r="F270" s="8">
        <f>IF(A270="","",IFERROR(INDEX(Testes!$N$2:$N$500,MATCH(A270,Testes!$A$2:$A$500,0)),""))</f>
        <v/>
      </c>
      <c r="G270" s="8">
        <f>IF(F270="ocorrência","VP",IF(F270="sem ocorrência","FP",""))</f>
        <v/>
      </c>
      <c r="H270" s="7" t="n"/>
      <c r="I270" s="8">
        <f>IF(H270&lt;&gt;"",H270,G270)</f>
        <v/>
      </c>
    </row>
    <row r="271">
      <c r="A271" s="9" t="n"/>
      <c r="B271" s="9" t="n"/>
      <c r="C271" s="9" t="n"/>
      <c r="D271" s="9" t="n"/>
      <c r="E271" s="9" t="n"/>
      <c r="F271" s="8">
        <f>IF(A271="","",IFERROR(INDEX(Testes!$N$2:$N$500,MATCH(A271,Testes!$A$2:$A$500,0)),""))</f>
        <v/>
      </c>
      <c r="G271" s="8">
        <f>IF(F271="ocorrência","VP",IF(F271="sem ocorrência","FP",""))</f>
        <v/>
      </c>
      <c r="H271" s="7" t="n"/>
      <c r="I271" s="8">
        <f>IF(H271&lt;&gt;"",H271,G271)</f>
        <v/>
      </c>
    </row>
    <row r="272">
      <c r="A272" s="9" t="n"/>
      <c r="B272" s="9" t="n"/>
      <c r="C272" s="9" t="n"/>
      <c r="D272" s="9" t="n"/>
      <c r="E272" s="9" t="n"/>
      <c r="F272" s="8">
        <f>IF(A272="","",IFERROR(INDEX(Testes!$N$2:$N$500,MATCH(A272,Testes!$A$2:$A$500,0)),""))</f>
        <v/>
      </c>
      <c r="G272" s="8">
        <f>IF(F272="ocorrência","VP",IF(F272="sem ocorrência","FP",""))</f>
        <v/>
      </c>
      <c r="H272" s="7" t="n"/>
      <c r="I272" s="8">
        <f>IF(H272&lt;&gt;"",H272,G272)</f>
        <v/>
      </c>
    </row>
    <row r="273">
      <c r="A273" s="9" t="n"/>
      <c r="B273" s="9" t="n"/>
      <c r="C273" s="9" t="n"/>
      <c r="D273" s="9" t="n"/>
      <c r="E273" s="9" t="n"/>
      <c r="F273" s="8">
        <f>IF(A273="","",IFERROR(INDEX(Testes!$N$2:$N$500,MATCH(A273,Testes!$A$2:$A$500,0)),""))</f>
        <v/>
      </c>
      <c r="G273" s="8">
        <f>IF(F273="ocorrência","VP",IF(F273="sem ocorrência","FP",""))</f>
        <v/>
      </c>
      <c r="H273" s="7" t="n"/>
      <c r="I273" s="8">
        <f>IF(H273&lt;&gt;"",H273,G273)</f>
        <v/>
      </c>
    </row>
    <row r="274">
      <c r="A274" s="9" t="n"/>
      <c r="B274" s="9" t="n"/>
      <c r="C274" s="9" t="n"/>
      <c r="D274" s="9" t="n"/>
      <c r="E274" s="9" t="n"/>
      <c r="F274" s="8">
        <f>IF(A274="","",IFERROR(INDEX(Testes!$N$2:$N$500,MATCH(A274,Testes!$A$2:$A$500,0)),""))</f>
        <v/>
      </c>
      <c r="G274" s="8">
        <f>IF(F274="ocorrência","VP",IF(F274="sem ocorrência","FP",""))</f>
        <v/>
      </c>
      <c r="H274" s="7" t="n"/>
      <c r="I274" s="8">
        <f>IF(H274&lt;&gt;"",H274,G274)</f>
        <v/>
      </c>
    </row>
    <row r="275">
      <c r="A275" s="9" t="n"/>
      <c r="B275" s="9" t="n"/>
      <c r="C275" s="9" t="n"/>
      <c r="D275" s="9" t="n"/>
      <c r="E275" s="9" t="n"/>
      <c r="F275" s="8">
        <f>IF(A275="","",IFERROR(INDEX(Testes!$N$2:$N$500,MATCH(A275,Testes!$A$2:$A$500,0)),""))</f>
        <v/>
      </c>
      <c r="G275" s="8">
        <f>IF(F275="ocorrência","VP",IF(F275="sem ocorrência","FP",""))</f>
        <v/>
      </c>
      <c r="H275" s="7" t="n"/>
      <c r="I275" s="8">
        <f>IF(H275&lt;&gt;"",H275,G275)</f>
        <v/>
      </c>
    </row>
    <row r="276">
      <c r="A276" s="9" t="n"/>
      <c r="B276" s="9" t="n"/>
      <c r="C276" s="9" t="n"/>
      <c r="D276" s="9" t="n"/>
      <c r="E276" s="9" t="n"/>
      <c r="F276" s="8">
        <f>IF(A276="","",IFERROR(INDEX(Testes!$N$2:$N$500,MATCH(A276,Testes!$A$2:$A$500,0)),""))</f>
        <v/>
      </c>
      <c r="G276" s="8">
        <f>IF(F276="ocorrência","VP",IF(F276="sem ocorrência","FP",""))</f>
        <v/>
      </c>
      <c r="H276" s="7" t="n"/>
      <c r="I276" s="8">
        <f>IF(H276&lt;&gt;"",H276,G276)</f>
        <v/>
      </c>
    </row>
    <row r="277">
      <c r="A277" s="9" t="n"/>
      <c r="B277" s="9" t="n"/>
      <c r="C277" s="9" t="n"/>
      <c r="D277" s="9" t="n"/>
      <c r="E277" s="9" t="n"/>
      <c r="F277" s="8">
        <f>IF(A277="","",IFERROR(INDEX(Testes!$N$2:$N$500,MATCH(A277,Testes!$A$2:$A$500,0)),""))</f>
        <v/>
      </c>
      <c r="G277" s="8">
        <f>IF(F277="ocorrência","VP",IF(F277="sem ocorrência","FP",""))</f>
        <v/>
      </c>
      <c r="H277" s="7" t="n"/>
      <c r="I277" s="8">
        <f>IF(H277&lt;&gt;"",H277,G277)</f>
        <v/>
      </c>
    </row>
    <row r="278">
      <c r="A278" s="9" t="n"/>
      <c r="B278" s="9" t="n"/>
      <c r="C278" s="9" t="n"/>
      <c r="D278" s="9" t="n"/>
      <c r="E278" s="9" t="n"/>
      <c r="F278" s="8">
        <f>IF(A278="","",IFERROR(INDEX(Testes!$N$2:$N$500,MATCH(A278,Testes!$A$2:$A$500,0)),""))</f>
        <v/>
      </c>
      <c r="G278" s="8">
        <f>IF(F278="ocorrência","VP",IF(F278="sem ocorrência","FP",""))</f>
        <v/>
      </c>
      <c r="H278" s="7" t="n"/>
      <c r="I278" s="8">
        <f>IF(H278&lt;&gt;"",H278,G278)</f>
        <v/>
      </c>
    </row>
    <row r="279">
      <c r="A279" s="9" t="n"/>
      <c r="B279" s="9" t="n"/>
      <c r="C279" s="9" t="n"/>
      <c r="D279" s="9" t="n"/>
      <c r="E279" s="9" t="n"/>
      <c r="F279" s="8">
        <f>IF(A279="","",IFERROR(INDEX(Testes!$N$2:$N$500,MATCH(A279,Testes!$A$2:$A$500,0)),""))</f>
        <v/>
      </c>
      <c r="G279" s="8">
        <f>IF(F279="ocorrência","VP",IF(F279="sem ocorrência","FP",""))</f>
        <v/>
      </c>
      <c r="H279" s="7" t="n"/>
      <c r="I279" s="8">
        <f>IF(H279&lt;&gt;"",H279,G279)</f>
        <v/>
      </c>
    </row>
    <row r="280">
      <c r="A280" s="9" t="n"/>
      <c r="B280" s="9" t="n"/>
      <c r="C280" s="9" t="n"/>
      <c r="D280" s="9" t="n"/>
      <c r="E280" s="9" t="n"/>
      <c r="F280" s="8">
        <f>IF(A280="","",IFERROR(INDEX(Testes!$N$2:$N$500,MATCH(A280,Testes!$A$2:$A$500,0)),""))</f>
        <v/>
      </c>
      <c r="G280" s="8">
        <f>IF(F280="ocorrência","VP",IF(F280="sem ocorrência","FP",""))</f>
        <v/>
      </c>
      <c r="H280" s="7" t="n"/>
      <c r="I280" s="8">
        <f>IF(H280&lt;&gt;"",H280,G280)</f>
        <v/>
      </c>
    </row>
    <row r="281">
      <c r="A281" s="9" t="n"/>
      <c r="B281" s="9" t="n"/>
      <c r="C281" s="9" t="n"/>
      <c r="D281" s="9" t="n"/>
      <c r="E281" s="9" t="n"/>
      <c r="F281" s="8">
        <f>IF(A281="","",IFERROR(INDEX(Testes!$N$2:$N$500,MATCH(A281,Testes!$A$2:$A$500,0)),""))</f>
        <v/>
      </c>
      <c r="G281" s="8">
        <f>IF(F281="ocorrência","VP",IF(F281="sem ocorrência","FP",""))</f>
        <v/>
      </c>
      <c r="H281" s="7" t="n"/>
      <c r="I281" s="8">
        <f>IF(H281&lt;&gt;"",H281,G281)</f>
        <v/>
      </c>
    </row>
    <row r="282">
      <c r="A282" s="9" t="n"/>
      <c r="B282" s="9" t="n"/>
      <c r="C282" s="9" t="n"/>
      <c r="D282" s="9" t="n"/>
      <c r="E282" s="9" t="n"/>
      <c r="F282" s="8">
        <f>IF(A282="","",IFERROR(INDEX(Testes!$N$2:$N$500,MATCH(A282,Testes!$A$2:$A$500,0)),""))</f>
        <v/>
      </c>
      <c r="G282" s="8">
        <f>IF(F282="ocorrência","VP",IF(F282="sem ocorrência","FP",""))</f>
        <v/>
      </c>
      <c r="H282" s="7" t="n"/>
      <c r="I282" s="8">
        <f>IF(H282&lt;&gt;"",H282,G282)</f>
        <v/>
      </c>
    </row>
    <row r="283">
      <c r="A283" s="9" t="n"/>
      <c r="B283" s="9" t="n"/>
      <c r="C283" s="9" t="n"/>
      <c r="D283" s="9" t="n"/>
      <c r="E283" s="9" t="n"/>
      <c r="F283" s="8">
        <f>IF(A283="","",IFERROR(INDEX(Testes!$N$2:$N$500,MATCH(A283,Testes!$A$2:$A$500,0)),""))</f>
        <v/>
      </c>
      <c r="G283" s="8">
        <f>IF(F283="ocorrência","VP",IF(F283="sem ocorrência","FP",""))</f>
        <v/>
      </c>
      <c r="H283" s="7" t="n"/>
      <c r="I283" s="8">
        <f>IF(H283&lt;&gt;"",H283,G283)</f>
        <v/>
      </c>
    </row>
    <row r="284">
      <c r="A284" s="9" t="n"/>
      <c r="B284" s="9" t="n"/>
      <c r="C284" s="9" t="n"/>
      <c r="D284" s="9" t="n"/>
      <c r="E284" s="9" t="n"/>
      <c r="F284" s="8">
        <f>IF(A284="","",IFERROR(INDEX(Testes!$N$2:$N$500,MATCH(A284,Testes!$A$2:$A$500,0)),""))</f>
        <v/>
      </c>
      <c r="G284" s="8">
        <f>IF(F284="ocorrência","VP",IF(F284="sem ocorrência","FP",""))</f>
        <v/>
      </c>
      <c r="H284" s="7" t="n"/>
      <c r="I284" s="8">
        <f>IF(H284&lt;&gt;"",H284,G284)</f>
        <v/>
      </c>
    </row>
    <row r="285">
      <c r="A285" s="9" t="n"/>
      <c r="B285" s="9" t="n"/>
      <c r="C285" s="9" t="n"/>
      <c r="D285" s="9" t="n"/>
      <c r="E285" s="9" t="n"/>
      <c r="F285" s="8">
        <f>IF(A285="","",IFERROR(INDEX(Testes!$N$2:$N$500,MATCH(A285,Testes!$A$2:$A$500,0)),""))</f>
        <v/>
      </c>
      <c r="G285" s="8">
        <f>IF(F285="ocorrência","VP",IF(F285="sem ocorrência","FP",""))</f>
        <v/>
      </c>
      <c r="H285" s="7" t="n"/>
      <c r="I285" s="8">
        <f>IF(H285&lt;&gt;"",H285,G285)</f>
        <v/>
      </c>
    </row>
    <row r="286">
      <c r="A286" s="9" t="n"/>
      <c r="B286" s="9" t="n"/>
      <c r="C286" s="9" t="n"/>
      <c r="D286" s="9" t="n"/>
      <c r="E286" s="9" t="n"/>
      <c r="F286" s="8">
        <f>IF(A286="","",IFERROR(INDEX(Testes!$N$2:$N$500,MATCH(A286,Testes!$A$2:$A$500,0)),""))</f>
        <v/>
      </c>
      <c r="G286" s="8">
        <f>IF(F286="ocorrência","VP",IF(F286="sem ocorrência","FP",""))</f>
        <v/>
      </c>
      <c r="H286" s="7" t="n"/>
      <c r="I286" s="8">
        <f>IF(H286&lt;&gt;"",H286,G286)</f>
        <v/>
      </c>
    </row>
    <row r="287">
      <c r="A287" s="9" t="n"/>
      <c r="B287" s="9" t="n"/>
      <c r="C287" s="9" t="n"/>
      <c r="D287" s="9" t="n"/>
      <c r="E287" s="9" t="n"/>
      <c r="F287" s="8">
        <f>IF(A287="","",IFERROR(INDEX(Testes!$N$2:$N$500,MATCH(A287,Testes!$A$2:$A$500,0)),""))</f>
        <v/>
      </c>
      <c r="G287" s="8">
        <f>IF(F287="ocorrência","VP",IF(F287="sem ocorrência","FP",""))</f>
        <v/>
      </c>
      <c r="H287" s="7" t="n"/>
      <c r="I287" s="8">
        <f>IF(H287&lt;&gt;"",H287,G287)</f>
        <v/>
      </c>
    </row>
    <row r="288">
      <c r="A288" s="9" t="n"/>
      <c r="B288" s="9" t="n"/>
      <c r="C288" s="9" t="n"/>
      <c r="D288" s="9" t="n"/>
      <c r="E288" s="9" t="n"/>
      <c r="F288" s="8">
        <f>IF(A288="","",IFERROR(INDEX(Testes!$N$2:$N$500,MATCH(A288,Testes!$A$2:$A$500,0)),""))</f>
        <v/>
      </c>
      <c r="G288" s="8">
        <f>IF(F288="ocorrência","VP",IF(F288="sem ocorrência","FP",""))</f>
        <v/>
      </c>
      <c r="H288" s="7" t="n"/>
      <c r="I288" s="8">
        <f>IF(H288&lt;&gt;"",H288,G288)</f>
        <v/>
      </c>
    </row>
    <row r="289">
      <c r="A289" s="9" t="n"/>
      <c r="B289" s="9" t="n"/>
      <c r="C289" s="9" t="n"/>
      <c r="D289" s="9" t="n"/>
      <c r="E289" s="9" t="n"/>
      <c r="F289" s="8">
        <f>IF(A289="","",IFERROR(INDEX(Testes!$N$2:$N$500,MATCH(A289,Testes!$A$2:$A$500,0)),""))</f>
        <v/>
      </c>
      <c r="G289" s="8">
        <f>IF(F289="ocorrência","VP",IF(F289="sem ocorrência","FP",""))</f>
        <v/>
      </c>
      <c r="H289" s="7" t="n"/>
      <c r="I289" s="8">
        <f>IF(H289&lt;&gt;"",H289,G289)</f>
        <v/>
      </c>
    </row>
    <row r="290">
      <c r="A290" s="9" t="n"/>
      <c r="B290" s="9" t="n"/>
      <c r="C290" s="9" t="n"/>
      <c r="D290" s="9" t="n"/>
      <c r="E290" s="9" t="n"/>
      <c r="F290" s="8">
        <f>IF(A290="","",IFERROR(INDEX(Testes!$N$2:$N$500,MATCH(A290,Testes!$A$2:$A$500,0)),""))</f>
        <v/>
      </c>
      <c r="G290" s="8">
        <f>IF(F290="ocorrência","VP",IF(F290="sem ocorrência","FP",""))</f>
        <v/>
      </c>
      <c r="H290" s="7" t="n"/>
      <c r="I290" s="8">
        <f>IF(H290&lt;&gt;"",H290,G290)</f>
        <v/>
      </c>
    </row>
    <row r="291">
      <c r="A291" s="9" t="n"/>
      <c r="B291" s="9" t="n"/>
      <c r="C291" s="9" t="n"/>
      <c r="D291" s="9" t="n"/>
      <c r="E291" s="9" t="n"/>
      <c r="F291" s="8">
        <f>IF(A291="","",IFERROR(INDEX(Testes!$N$2:$N$500,MATCH(A291,Testes!$A$2:$A$500,0)),""))</f>
        <v/>
      </c>
      <c r="G291" s="8">
        <f>IF(F291="ocorrência","VP",IF(F291="sem ocorrência","FP",""))</f>
        <v/>
      </c>
      <c r="H291" s="7" t="n"/>
      <c r="I291" s="8">
        <f>IF(H291&lt;&gt;"",H291,G291)</f>
        <v/>
      </c>
    </row>
    <row r="292">
      <c r="A292" s="9" t="n"/>
      <c r="B292" s="9" t="n"/>
      <c r="C292" s="9" t="n"/>
      <c r="D292" s="9" t="n"/>
      <c r="E292" s="9" t="n"/>
      <c r="F292" s="8">
        <f>IF(A292="","",IFERROR(INDEX(Testes!$N$2:$N$500,MATCH(A292,Testes!$A$2:$A$500,0)),""))</f>
        <v/>
      </c>
      <c r="G292" s="8">
        <f>IF(F292="ocorrência","VP",IF(F292="sem ocorrência","FP",""))</f>
        <v/>
      </c>
      <c r="H292" s="7" t="n"/>
      <c r="I292" s="8">
        <f>IF(H292&lt;&gt;"",H292,G292)</f>
        <v/>
      </c>
    </row>
    <row r="293">
      <c r="A293" s="9" t="n"/>
      <c r="B293" s="9" t="n"/>
      <c r="C293" s="9" t="n"/>
      <c r="D293" s="9" t="n"/>
      <c r="E293" s="9" t="n"/>
      <c r="F293" s="8">
        <f>IF(A293="","",IFERROR(INDEX(Testes!$N$2:$N$500,MATCH(A293,Testes!$A$2:$A$500,0)),""))</f>
        <v/>
      </c>
      <c r="G293" s="8">
        <f>IF(F293="ocorrência","VP",IF(F293="sem ocorrência","FP",""))</f>
        <v/>
      </c>
      <c r="H293" s="7" t="n"/>
      <c r="I293" s="8">
        <f>IF(H293&lt;&gt;"",H293,G293)</f>
        <v/>
      </c>
    </row>
    <row r="294">
      <c r="A294" s="9" t="n"/>
      <c r="B294" s="9" t="n"/>
      <c r="C294" s="9" t="n"/>
      <c r="D294" s="9" t="n"/>
      <c r="E294" s="9" t="n"/>
      <c r="F294" s="8">
        <f>IF(A294="","",IFERROR(INDEX(Testes!$N$2:$N$500,MATCH(A294,Testes!$A$2:$A$500,0)),""))</f>
        <v/>
      </c>
      <c r="G294" s="8">
        <f>IF(F294="ocorrência","VP",IF(F294="sem ocorrência","FP",""))</f>
        <v/>
      </c>
      <c r="H294" s="7" t="n"/>
      <c r="I294" s="8">
        <f>IF(H294&lt;&gt;"",H294,G294)</f>
        <v/>
      </c>
    </row>
    <row r="295">
      <c r="A295" s="9" t="n"/>
      <c r="B295" s="9" t="n"/>
      <c r="C295" s="9" t="n"/>
      <c r="D295" s="9" t="n"/>
      <c r="E295" s="9" t="n"/>
      <c r="F295" s="8">
        <f>IF(A295="","",IFERROR(INDEX(Testes!$N$2:$N$500,MATCH(A295,Testes!$A$2:$A$500,0)),""))</f>
        <v/>
      </c>
      <c r="G295" s="8">
        <f>IF(F295="ocorrência","VP",IF(F295="sem ocorrência","FP",""))</f>
        <v/>
      </c>
      <c r="H295" s="7" t="n"/>
      <c r="I295" s="8">
        <f>IF(H295&lt;&gt;"",H295,G295)</f>
        <v/>
      </c>
    </row>
    <row r="296">
      <c r="A296" s="9" t="n"/>
      <c r="B296" s="9" t="n"/>
      <c r="C296" s="9" t="n"/>
      <c r="D296" s="9" t="n"/>
      <c r="E296" s="9" t="n"/>
      <c r="F296" s="8">
        <f>IF(A296="","",IFERROR(INDEX(Testes!$N$2:$N$500,MATCH(A296,Testes!$A$2:$A$500,0)),""))</f>
        <v/>
      </c>
      <c r="G296" s="8">
        <f>IF(F296="ocorrência","VP",IF(F296="sem ocorrência","FP",""))</f>
        <v/>
      </c>
      <c r="H296" s="7" t="n"/>
      <c r="I296" s="8">
        <f>IF(H296&lt;&gt;"",H296,G296)</f>
        <v/>
      </c>
    </row>
    <row r="297">
      <c r="A297" s="9" t="n"/>
      <c r="B297" s="9" t="n"/>
      <c r="C297" s="9" t="n"/>
      <c r="D297" s="9" t="n"/>
      <c r="E297" s="9" t="n"/>
      <c r="F297" s="8">
        <f>IF(A297="","",IFERROR(INDEX(Testes!$N$2:$N$500,MATCH(A297,Testes!$A$2:$A$500,0)),""))</f>
        <v/>
      </c>
      <c r="G297" s="8">
        <f>IF(F297="ocorrência","VP",IF(F297="sem ocorrência","FP",""))</f>
        <v/>
      </c>
      <c r="H297" s="7" t="n"/>
      <c r="I297" s="8">
        <f>IF(H297&lt;&gt;"",H297,G297)</f>
        <v/>
      </c>
    </row>
    <row r="298">
      <c r="A298" s="9" t="n"/>
      <c r="B298" s="9" t="n"/>
      <c r="C298" s="9" t="n"/>
      <c r="D298" s="9" t="n"/>
      <c r="E298" s="9" t="n"/>
      <c r="F298" s="8">
        <f>IF(A298="","",IFERROR(INDEX(Testes!$N$2:$N$500,MATCH(A298,Testes!$A$2:$A$500,0)),""))</f>
        <v/>
      </c>
      <c r="G298" s="8">
        <f>IF(F298="ocorrência","VP",IF(F298="sem ocorrência","FP",""))</f>
        <v/>
      </c>
      <c r="H298" s="7" t="n"/>
      <c r="I298" s="8">
        <f>IF(H298&lt;&gt;"",H298,G298)</f>
        <v/>
      </c>
    </row>
    <row r="299">
      <c r="A299" s="9" t="n"/>
      <c r="B299" s="9" t="n"/>
      <c r="C299" s="9" t="n"/>
      <c r="D299" s="9" t="n"/>
      <c r="E299" s="9" t="n"/>
      <c r="F299" s="8">
        <f>IF(A299="","",IFERROR(INDEX(Testes!$N$2:$N$500,MATCH(A299,Testes!$A$2:$A$500,0)),""))</f>
        <v/>
      </c>
      <c r="G299" s="8">
        <f>IF(F299="ocorrência","VP",IF(F299="sem ocorrência","FP",""))</f>
        <v/>
      </c>
      <c r="H299" s="7" t="n"/>
      <c r="I299" s="8">
        <f>IF(H299&lt;&gt;"",H299,G299)</f>
        <v/>
      </c>
    </row>
    <row r="300">
      <c r="A300" s="9" t="n"/>
      <c r="B300" s="9" t="n"/>
      <c r="C300" s="9" t="n"/>
      <c r="D300" s="9" t="n"/>
      <c r="E300" s="9" t="n"/>
      <c r="F300" s="8">
        <f>IF(A300="","",IFERROR(INDEX(Testes!$N$2:$N$500,MATCH(A300,Testes!$A$2:$A$500,0)),""))</f>
        <v/>
      </c>
      <c r="G300" s="8">
        <f>IF(F300="ocorrência","VP",IF(F300="sem ocorrência","FP",""))</f>
        <v/>
      </c>
      <c r="H300" s="7" t="n"/>
      <c r="I300" s="8">
        <f>IF(H300&lt;&gt;"",H300,G300)</f>
        <v/>
      </c>
    </row>
    <row r="301">
      <c r="A301" s="9" t="n"/>
      <c r="B301" s="9" t="n"/>
      <c r="C301" s="9" t="n"/>
      <c r="D301" s="9" t="n"/>
      <c r="E301" s="9" t="n"/>
      <c r="F301" s="8">
        <f>IF(A301="","",IFERROR(INDEX(Testes!$N$2:$N$500,MATCH(A301,Testes!$A$2:$A$500,0)),""))</f>
        <v/>
      </c>
      <c r="G301" s="8">
        <f>IF(F301="ocorrência","VP",IF(F301="sem ocorrência","FP",""))</f>
        <v/>
      </c>
      <c r="H301" s="7" t="n"/>
      <c r="I301" s="8">
        <f>IF(H301&lt;&gt;"",H301,G301)</f>
        <v/>
      </c>
    </row>
    <row r="302">
      <c r="A302" s="9" t="n"/>
      <c r="B302" s="9" t="n"/>
      <c r="C302" s="9" t="n"/>
      <c r="D302" s="9" t="n"/>
      <c r="E302" s="9" t="n"/>
      <c r="F302" s="8">
        <f>IF(A302="","",IFERROR(INDEX(Testes!$N$2:$N$500,MATCH(A302,Testes!$A$2:$A$500,0)),""))</f>
        <v/>
      </c>
      <c r="G302" s="8">
        <f>IF(F302="ocorrência","VP",IF(F302="sem ocorrência","FP",""))</f>
        <v/>
      </c>
      <c r="H302" s="7" t="n"/>
      <c r="I302" s="8">
        <f>IF(H302&lt;&gt;"",H302,G302)</f>
        <v/>
      </c>
    </row>
    <row r="303">
      <c r="A303" s="9" t="n"/>
      <c r="B303" s="9" t="n"/>
      <c r="C303" s="9" t="n"/>
      <c r="D303" s="9" t="n"/>
      <c r="E303" s="9" t="n"/>
      <c r="F303" s="8">
        <f>IF(A303="","",IFERROR(INDEX(Testes!$N$2:$N$500,MATCH(A303,Testes!$A$2:$A$500,0)),""))</f>
        <v/>
      </c>
      <c r="G303" s="8">
        <f>IF(F303="ocorrência","VP",IF(F303="sem ocorrência","FP",""))</f>
        <v/>
      </c>
      <c r="H303" s="7" t="n"/>
      <c r="I303" s="8">
        <f>IF(H303&lt;&gt;"",H303,G303)</f>
        <v/>
      </c>
    </row>
    <row r="304">
      <c r="A304" s="9" t="n"/>
      <c r="B304" s="9" t="n"/>
      <c r="C304" s="9" t="n"/>
      <c r="D304" s="9" t="n"/>
      <c r="E304" s="9" t="n"/>
      <c r="F304" s="8">
        <f>IF(A304="","",IFERROR(INDEX(Testes!$N$2:$N$500,MATCH(A304,Testes!$A$2:$A$500,0)),""))</f>
        <v/>
      </c>
      <c r="G304" s="8">
        <f>IF(F304="ocorrência","VP",IF(F304="sem ocorrência","FP",""))</f>
        <v/>
      </c>
      <c r="H304" s="7" t="n"/>
      <c r="I304" s="8">
        <f>IF(H304&lt;&gt;"",H304,G304)</f>
        <v/>
      </c>
    </row>
    <row r="305">
      <c r="A305" s="9" t="n"/>
      <c r="B305" s="9" t="n"/>
      <c r="C305" s="9" t="n"/>
      <c r="D305" s="9" t="n"/>
      <c r="E305" s="9" t="n"/>
      <c r="F305" s="8">
        <f>IF(A305="","",IFERROR(INDEX(Testes!$N$2:$N$500,MATCH(A305,Testes!$A$2:$A$500,0)),""))</f>
        <v/>
      </c>
      <c r="G305" s="8">
        <f>IF(F305="ocorrência","VP",IF(F305="sem ocorrência","FP",""))</f>
        <v/>
      </c>
      <c r="H305" s="7" t="n"/>
      <c r="I305" s="8">
        <f>IF(H305&lt;&gt;"",H305,G305)</f>
        <v/>
      </c>
    </row>
    <row r="306">
      <c r="A306" s="9" t="n"/>
      <c r="B306" s="9" t="n"/>
      <c r="C306" s="9" t="n"/>
      <c r="D306" s="9" t="n"/>
      <c r="E306" s="9" t="n"/>
      <c r="F306" s="8">
        <f>IF(A306="","",IFERROR(INDEX(Testes!$N$2:$N$500,MATCH(A306,Testes!$A$2:$A$500,0)),""))</f>
        <v/>
      </c>
      <c r="G306" s="8">
        <f>IF(F306="ocorrência","VP",IF(F306="sem ocorrência","FP",""))</f>
        <v/>
      </c>
      <c r="H306" s="7" t="n"/>
      <c r="I306" s="8">
        <f>IF(H306&lt;&gt;"",H306,G306)</f>
        <v/>
      </c>
    </row>
    <row r="307">
      <c r="A307" s="9" t="n"/>
      <c r="B307" s="9" t="n"/>
      <c r="C307" s="9" t="n"/>
      <c r="D307" s="9" t="n"/>
      <c r="E307" s="9" t="n"/>
      <c r="F307" s="8">
        <f>IF(A307="","",IFERROR(INDEX(Testes!$N$2:$N$500,MATCH(A307,Testes!$A$2:$A$500,0)),""))</f>
        <v/>
      </c>
      <c r="G307" s="8">
        <f>IF(F307="ocorrência","VP",IF(F307="sem ocorrência","FP",""))</f>
        <v/>
      </c>
      <c r="H307" s="7" t="n"/>
      <c r="I307" s="8">
        <f>IF(H307&lt;&gt;"",H307,G307)</f>
        <v/>
      </c>
    </row>
    <row r="308">
      <c r="A308" s="9" t="n"/>
      <c r="B308" s="9" t="n"/>
      <c r="C308" s="9" t="n"/>
      <c r="D308" s="9" t="n"/>
      <c r="E308" s="9" t="n"/>
      <c r="F308" s="8">
        <f>IF(A308="","",IFERROR(INDEX(Testes!$N$2:$N$500,MATCH(A308,Testes!$A$2:$A$500,0)),""))</f>
        <v/>
      </c>
      <c r="G308" s="8">
        <f>IF(F308="ocorrência","VP",IF(F308="sem ocorrência","FP",""))</f>
        <v/>
      </c>
      <c r="H308" s="7" t="n"/>
      <c r="I308" s="8">
        <f>IF(H308&lt;&gt;"",H308,G308)</f>
        <v/>
      </c>
    </row>
    <row r="309">
      <c r="A309" s="9" t="n"/>
      <c r="B309" s="9" t="n"/>
      <c r="C309" s="9" t="n"/>
      <c r="D309" s="9" t="n"/>
      <c r="E309" s="9" t="n"/>
      <c r="F309" s="8">
        <f>IF(A309="","",IFERROR(INDEX(Testes!$N$2:$N$500,MATCH(A309,Testes!$A$2:$A$500,0)),""))</f>
        <v/>
      </c>
      <c r="G309" s="8">
        <f>IF(F309="ocorrência","VP",IF(F309="sem ocorrência","FP",""))</f>
        <v/>
      </c>
      <c r="H309" s="7" t="n"/>
      <c r="I309" s="8">
        <f>IF(H309&lt;&gt;"",H309,G309)</f>
        <v/>
      </c>
    </row>
    <row r="310">
      <c r="A310" s="9" t="n"/>
      <c r="B310" s="9" t="n"/>
      <c r="C310" s="9" t="n"/>
      <c r="D310" s="9" t="n"/>
      <c r="E310" s="9" t="n"/>
      <c r="F310" s="8">
        <f>IF(A310="","",IFERROR(INDEX(Testes!$N$2:$N$500,MATCH(A310,Testes!$A$2:$A$500,0)),""))</f>
        <v/>
      </c>
      <c r="G310" s="8">
        <f>IF(F310="ocorrência","VP",IF(F310="sem ocorrência","FP",""))</f>
        <v/>
      </c>
      <c r="H310" s="7" t="n"/>
      <c r="I310" s="8">
        <f>IF(H310&lt;&gt;"",H310,G310)</f>
        <v/>
      </c>
    </row>
    <row r="311">
      <c r="A311" s="9" t="n"/>
      <c r="B311" s="9" t="n"/>
      <c r="C311" s="9" t="n"/>
      <c r="D311" s="9" t="n"/>
      <c r="E311" s="9" t="n"/>
      <c r="F311" s="8">
        <f>IF(A311="","",IFERROR(INDEX(Testes!$N$2:$N$500,MATCH(A311,Testes!$A$2:$A$500,0)),""))</f>
        <v/>
      </c>
      <c r="G311" s="8">
        <f>IF(F311="ocorrência","VP",IF(F311="sem ocorrência","FP",""))</f>
        <v/>
      </c>
      <c r="H311" s="7" t="n"/>
      <c r="I311" s="8">
        <f>IF(H311&lt;&gt;"",H311,G311)</f>
        <v/>
      </c>
    </row>
    <row r="312">
      <c r="A312" s="9" t="n"/>
      <c r="B312" s="9" t="n"/>
      <c r="C312" s="9" t="n"/>
      <c r="D312" s="9" t="n"/>
      <c r="E312" s="9" t="n"/>
      <c r="F312" s="8">
        <f>IF(A312="","",IFERROR(INDEX(Testes!$N$2:$N$500,MATCH(A312,Testes!$A$2:$A$500,0)),""))</f>
        <v/>
      </c>
      <c r="G312" s="8">
        <f>IF(F312="ocorrência","VP",IF(F312="sem ocorrência","FP",""))</f>
        <v/>
      </c>
      <c r="H312" s="7" t="n"/>
      <c r="I312" s="8">
        <f>IF(H312&lt;&gt;"",H312,G312)</f>
        <v/>
      </c>
    </row>
    <row r="313">
      <c r="A313" s="9" t="n"/>
      <c r="B313" s="9" t="n"/>
      <c r="C313" s="9" t="n"/>
      <c r="D313" s="9" t="n"/>
      <c r="E313" s="9" t="n"/>
      <c r="F313" s="8">
        <f>IF(A313="","",IFERROR(INDEX(Testes!$N$2:$N$500,MATCH(A313,Testes!$A$2:$A$500,0)),""))</f>
        <v/>
      </c>
      <c r="G313" s="8">
        <f>IF(F313="ocorrência","VP",IF(F313="sem ocorrência","FP",""))</f>
        <v/>
      </c>
      <c r="H313" s="7" t="n"/>
      <c r="I313" s="8">
        <f>IF(H313&lt;&gt;"",H313,G313)</f>
        <v/>
      </c>
    </row>
    <row r="314">
      <c r="A314" s="9" t="n"/>
      <c r="B314" s="9" t="n"/>
      <c r="C314" s="9" t="n"/>
      <c r="D314" s="9" t="n"/>
      <c r="E314" s="9" t="n"/>
      <c r="F314" s="8">
        <f>IF(A314="","",IFERROR(INDEX(Testes!$N$2:$N$500,MATCH(A314,Testes!$A$2:$A$500,0)),""))</f>
        <v/>
      </c>
      <c r="G314" s="8">
        <f>IF(F314="ocorrência","VP",IF(F314="sem ocorrência","FP",""))</f>
        <v/>
      </c>
      <c r="H314" s="7" t="n"/>
      <c r="I314" s="8">
        <f>IF(H314&lt;&gt;"",H314,G314)</f>
        <v/>
      </c>
    </row>
    <row r="315">
      <c r="A315" s="9" t="n"/>
      <c r="B315" s="9" t="n"/>
      <c r="C315" s="9" t="n"/>
      <c r="D315" s="9" t="n"/>
      <c r="E315" s="9" t="n"/>
      <c r="F315" s="8">
        <f>IF(A315="","",IFERROR(INDEX(Testes!$N$2:$N$500,MATCH(A315,Testes!$A$2:$A$500,0)),""))</f>
        <v/>
      </c>
      <c r="G315" s="8">
        <f>IF(F315="ocorrência","VP",IF(F315="sem ocorrência","FP",""))</f>
        <v/>
      </c>
      <c r="H315" s="7" t="n"/>
      <c r="I315" s="8">
        <f>IF(H315&lt;&gt;"",H315,G315)</f>
        <v/>
      </c>
    </row>
    <row r="316">
      <c r="A316" s="9" t="n"/>
      <c r="B316" s="9" t="n"/>
      <c r="C316" s="9" t="n"/>
      <c r="D316" s="9" t="n"/>
      <c r="E316" s="9" t="n"/>
      <c r="F316" s="8">
        <f>IF(A316="","",IFERROR(INDEX(Testes!$N$2:$N$500,MATCH(A316,Testes!$A$2:$A$500,0)),""))</f>
        <v/>
      </c>
      <c r="G316" s="8">
        <f>IF(F316="ocorrência","VP",IF(F316="sem ocorrência","FP",""))</f>
        <v/>
      </c>
      <c r="H316" s="7" t="n"/>
      <c r="I316" s="8">
        <f>IF(H316&lt;&gt;"",H316,G316)</f>
        <v/>
      </c>
    </row>
    <row r="317">
      <c r="A317" s="9" t="n"/>
      <c r="B317" s="9" t="n"/>
      <c r="C317" s="9" t="n"/>
      <c r="D317" s="9" t="n"/>
      <c r="E317" s="9" t="n"/>
      <c r="F317" s="8">
        <f>IF(A317="","",IFERROR(INDEX(Testes!$N$2:$N$500,MATCH(A317,Testes!$A$2:$A$500,0)),""))</f>
        <v/>
      </c>
      <c r="G317" s="8">
        <f>IF(F317="ocorrência","VP",IF(F317="sem ocorrência","FP",""))</f>
        <v/>
      </c>
      <c r="H317" s="7" t="n"/>
      <c r="I317" s="8">
        <f>IF(H317&lt;&gt;"",H317,G317)</f>
        <v/>
      </c>
    </row>
    <row r="318">
      <c r="A318" s="9" t="n"/>
      <c r="B318" s="9" t="n"/>
      <c r="C318" s="9" t="n"/>
      <c r="D318" s="9" t="n"/>
      <c r="E318" s="9" t="n"/>
      <c r="F318" s="8">
        <f>IF(A318="","",IFERROR(INDEX(Testes!$N$2:$N$500,MATCH(A318,Testes!$A$2:$A$500,0)),""))</f>
        <v/>
      </c>
      <c r="G318" s="8">
        <f>IF(F318="ocorrência","VP",IF(F318="sem ocorrência","FP",""))</f>
        <v/>
      </c>
      <c r="H318" s="7" t="n"/>
      <c r="I318" s="8">
        <f>IF(H318&lt;&gt;"",H318,G318)</f>
        <v/>
      </c>
    </row>
    <row r="319">
      <c r="A319" s="9" t="n"/>
      <c r="B319" s="9" t="n"/>
      <c r="C319" s="9" t="n"/>
      <c r="D319" s="9" t="n"/>
      <c r="E319" s="9" t="n"/>
      <c r="F319" s="8">
        <f>IF(A319="","",IFERROR(INDEX(Testes!$N$2:$N$500,MATCH(A319,Testes!$A$2:$A$500,0)),""))</f>
        <v/>
      </c>
      <c r="G319" s="8">
        <f>IF(F319="ocorrência","VP",IF(F319="sem ocorrência","FP",""))</f>
        <v/>
      </c>
      <c r="H319" s="7" t="n"/>
      <c r="I319" s="8">
        <f>IF(H319&lt;&gt;"",H319,G319)</f>
        <v/>
      </c>
    </row>
    <row r="320">
      <c r="A320" s="9" t="n"/>
      <c r="B320" s="9" t="n"/>
      <c r="C320" s="9" t="n"/>
      <c r="D320" s="9" t="n"/>
      <c r="E320" s="9" t="n"/>
      <c r="F320" s="8">
        <f>IF(A320="","",IFERROR(INDEX(Testes!$N$2:$N$500,MATCH(A320,Testes!$A$2:$A$500,0)),""))</f>
        <v/>
      </c>
      <c r="G320" s="8">
        <f>IF(F320="ocorrência","VP",IF(F320="sem ocorrência","FP",""))</f>
        <v/>
      </c>
      <c r="H320" s="7" t="n"/>
      <c r="I320" s="8">
        <f>IF(H320&lt;&gt;"",H320,G320)</f>
        <v/>
      </c>
    </row>
    <row r="321">
      <c r="A321" s="9" t="n"/>
      <c r="B321" s="9" t="n"/>
      <c r="C321" s="9" t="n"/>
      <c r="D321" s="9" t="n"/>
      <c r="E321" s="9" t="n"/>
      <c r="F321" s="8">
        <f>IF(A321="","",IFERROR(INDEX(Testes!$N$2:$N$500,MATCH(A321,Testes!$A$2:$A$500,0)),""))</f>
        <v/>
      </c>
      <c r="G321" s="8">
        <f>IF(F321="ocorrência","VP",IF(F321="sem ocorrência","FP",""))</f>
        <v/>
      </c>
      <c r="H321" s="7" t="n"/>
      <c r="I321" s="8">
        <f>IF(H321&lt;&gt;"",H321,G321)</f>
        <v/>
      </c>
    </row>
    <row r="322">
      <c r="A322" s="9" t="n"/>
      <c r="B322" s="9" t="n"/>
      <c r="C322" s="9" t="n"/>
      <c r="D322" s="9" t="n"/>
      <c r="E322" s="9" t="n"/>
      <c r="F322" s="8">
        <f>IF(A322="","",IFERROR(INDEX(Testes!$N$2:$N$500,MATCH(A322,Testes!$A$2:$A$500,0)),""))</f>
        <v/>
      </c>
      <c r="G322" s="8">
        <f>IF(F322="ocorrência","VP",IF(F322="sem ocorrência","FP",""))</f>
        <v/>
      </c>
      <c r="H322" s="7" t="n"/>
      <c r="I322" s="8">
        <f>IF(H322&lt;&gt;"",H322,G322)</f>
        <v/>
      </c>
    </row>
    <row r="323">
      <c r="A323" s="9" t="n"/>
      <c r="B323" s="9" t="n"/>
      <c r="C323" s="9" t="n"/>
      <c r="D323" s="9" t="n"/>
      <c r="E323" s="9" t="n"/>
      <c r="F323" s="8">
        <f>IF(A323="","",IFERROR(INDEX(Testes!$N$2:$N$500,MATCH(A323,Testes!$A$2:$A$500,0)),""))</f>
        <v/>
      </c>
      <c r="G323" s="8">
        <f>IF(F323="ocorrência","VP",IF(F323="sem ocorrência","FP",""))</f>
        <v/>
      </c>
      <c r="H323" s="7" t="n"/>
      <c r="I323" s="8">
        <f>IF(H323&lt;&gt;"",H323,G323)</f>
        <v/>
      </c>
    </row>
    <row r="324">
      <c r="A324" s="9" t="n"/>
      <c r="B324" s="9" t="n"/>
      <c r="C324" s="9" t="n"/>
      <c r="D324" s="9" t="n"/>
      <c r="E324" s="9" t="n"/>
      <c r="F324" s="8">
        <f>IF(A324="","",IFERROR(INDEX(Testes!$N$2:$N$500,MATCH(A324,Testes!$A$2:$A$500,0)),""))</f>
        <v/>
      </c>
      <c r="G324" s="8">
        <f>IF(F324="ocorrência","VP",IF(F324="sem ocorrência","FP",""))</f>
        <v/>
      </c>
      <c r="H324" s="7" t="n"/>
      <c r="I324" s="8">
        <f>IF(H324&lt;&gt;"",H324,G324)</f>
        <v/>
      </c>
    </row>
    <row r="325">
      <c r="A325" s="9" t="n"/>
      <c r="B325" s="9" t="n"/>
      <c r="C325" s="9" t="n"/>
      <c r="D325" s="9" t="n"/>
      <c r="E325" s="9" t="n"/>
      <c r="F325" s="8">
        <f>IF(A325="","",IFERROR(INDEX(Testes!$N$2:$N$500,MATCH(A325,Testes!$A$2:$A$500,0)),""))</f>
        <v/>
      </c>
      <c r="G325" s="8">
        <f>IF(F325="ocorrência","VP",IF(F325="sem ocorrência","FP",""))</f>
        <v/>
      </c>
      <c r="H325" s="7" t="n"/>
      <c r="I325" s="8">
        <f>IF(H325&lt;&gt;"",H325,G325)</f>
        <v/>
      </c>
    </row>
    <row r="326">
      <c r="A326" s="9" t="n"/>
      <c r="B326" s="9" t="n"/>
      <c r="C326" s="9" t="n"/>
      <c r="D326" s="9" t="n"/>
      <c r="E326" s="9" t="n"/>
      <c r="F326" s="8">
        <f>IF(A326="","",IFERROR(INDEX(Testes!$N$2:$N$500,MATCH(A326,Testes!$A$2:$A$500,0)),""))</f>
        <v/>
      </c>
      <c r="G326" s="8">
        <f>IF(F326="ocorrência","VP",IF(F326="sem ocorrência","FP",""))</f>
        <v/>
      </c>
      <c r="H326" s="7" t="n"/>
      <c r="I326" s="8">
        <f>IF(H326&lt;&gt;"",H326,G326)</f>
        <v/>
      </c>
    </row>
    <row r="327">
      <c r="A327" s="9" t="n"/>
      <c r="B327" s="9" t="n"/>
      <c r="C327" s="9" t="n"/>
      <c r="D327" s="9" t="n"/>
      <c r="E327" s="9" t="n"/>
      <c r="F327" s="8">
        <f>IF(A327="","",IFERROR(INDEX(Testes!$N$2:$N$500,MATCH(A327,Testes!$A$2:$A$500,0)),""))</f>
        <v/>
      </c>
      <c r="G327" s="8">
        <f>IF(F327="ocorrência","VP",IF(F327="sem ocorrência","FP",""))</f>
        <v/>
      </c>
      <c r="H327" s="7" t="n"/>
      <c r="I327" s="8">
        <f>IF(H327&lt;&gt;"",H327,G327)</f>
        <v/>
      </c>
    </row>
    <row r="328">
      <c r="A328" s="9" t="n"/>
      <c r="B328" s="9" t="n"/>
      <c r="C328" s="9" t="n"/>
      <c r="D328" s="9" t="n"/>
      <c r="E328" s="9" t="n"/>
      <c r="F328" s="8">
        <f>IF(A328="","",IFERROR(INDEX(Testes!$N$2:$N$500,MATCH(A328,Testes!$A$2:$A$500,0)),""))</f>
        <v/>
      </c>
      <c r="G328" s="8">
        <f>IF(F328="ocorrência","VP",IF(F328="sem ocorrência","FP",""))</f>
        <v/>
      </c>
      <c r="H328" s="7" t="n"/>
      <c r="I328" s="8">
        <f>IF(H328&lt;&gt;"",H328,G328)</f>
        <v/>
      </c>
    </row>
    <row r="329">
      <c r="A329" s="9" t="n"/>
      <c r="B329" s="9" t="n"/>
      <c r="C329" s="9" t="n"/>
      <c r="D329" s="9" t="n"/>
      <c r="E329" s="9" t="n"/>
      <c r="F329" s="8">
        <f>IF(A329="","",IFERROR(INDEX(Testes!$N$2:$N$500,MATCH(A329,Testes!$A$2:$A$500,0)),""))</f>
        <v/>
      </c>
      <c r="G329" s="8">
        <f>IF(F329="ocorrência","VP",IF(F329="sem ocorrência","FP",""))</f>
        <v/>
      </c>
      <c r="H329" s="7" t="n"/>
      <c r="I329" s="8">
        <f>IF(H329&lt;&gt;"",H329,G329)</f>
        <v/>
      </c>
    </row>
    <row r="330">
      <c r="A330" s="9" t="n"/>
      <c r="B330" s="9" t="n"/>
      <c r="C330" s="9" t="n"/>
      <c r="D330" s="9" t="n"/>
      <c r="E330" s="9" t="n"/>
      <c r="F330" s="8">
        <f>IF(A330="","",IFERROR(INDEX(Testes!$N$2:$N$500,MATCH(A330,Testes!$A$2:$A$500,0)),""))</f>
        <v/>
      </c>
      <c r="G330" s="8">
        <f>IF(F330="ocorrência","VP",IF(F330="sem ocorrência","FP",""))</f>
        <v/>
      </c>
      <c r="H330" s="7" t="n"/>
      <c r="I330" s="8">
        <f>IF(H330&lt;&gt;"",H330,G330)</f>
        <v/>
      </c>
    </row>
    <row r="331">
      <c r="A331" s="9" t="n"/>
      <c r="B331" s="9" t="n"/>
      <c r="C331" s="9" t="n"/>
      <c r="D331" s="9" t="n"/>
      <c r="E331" s="9" t="n"/>
      <c r="F331" s="8">
        <f>IF(A331="","",IFERROR(INDEX(Testes!$N$2:$N$500,MATCH(A331,Testes!$A$2:$A$500,0)),""))</f>
        <v/>
      </c>
      <c r="G331" s="8">
        <f>IF(F331="ocorrência","VP",IF(F331="sem ocorrência","FP",""))</f>
        <v/>
      </c>
      <c r="H331" s="7" t="n"/>
      <c r="I331" s="8">
        <f>IF(H331&lt;&gt;"",H331,G331)</f>
        <v/>
      </c>
    </row>
    <row r="332">
      <c r="A332" s="9" t="n"/>
      <c r="B332" s="9" t="n"/>
      <c r="C332" s="9" t="n"/>
      <c r="D332" s="9" t="n"/>
      <c r="E332" s="9" t="n"/>
      <c r="F332" s="8">
        <f>IF(A332="","",IFERROR(INDEX(Testes!$N$2:$N$500,MATCH(A332,Testes!$A$2:$A$500,0)),""))</f>
        <v/>
      </c>
      <c r="G332" s="8">
        <f>IF(F332="ocorrência","VP",IF(F332="sem ocorrência","FP",""))</f>
        <v/>
      </c>
      <c r="H332" s="7" t="n"/>
      <c r="I332" s="8">
        <f>IF(H332&lt;&gt;"",H332,G332)</f>
        <v/>
      </c>
    </row>
    <row r="333">
      <c r="A333" s="9" t="n"/>
      <c r="B333" s="9" t="n"/>
      <c r="C333" s="9" t="n"/>
      <c r="D333" s="9" t="n"/>
      <c r="E333" s="9" t="n"/>
      <c r="F333" s="8">
        <f>IF(A333="","",IFERROR(INDEX(Testes!$N$2:$N$500,MATCH(A333,Testes!$A$2:$A$500,0)),""))</f>
        <v/>
      </c>
      <c r="G333" s="8">
        <f>IF(F333="ocorrência","VP",IF(F333="sem ocorrência","FP",""))</f>
        <v/>
      </c>
      <c r="H333" s="7" t="n"/>
      <c r="I333" s="8">
        <f>IF(H333&lt;&gt;"",H333,G333)</f>
        <v/>
      </c>
    </row>
    <row r="334">
      <c r="A334" s="9" t="n"/>
      <c r="B334" s="9" t="n"/>
      <c r="C334" s="9" t="n"/>
      <c r="D334" s="9" t="n"/>
      <c r="E334" s="9" t="n"/>
      <c r="F334" s="8">
        <f>IF(A334="","",IFERROR(INDEX(Testes!$N$2:$N$500,MATCH(A334,Testes!$A$2:$A$500,0)),""))</f>
        <v/>
      </c>
      <c r="G334" s="8">
        <f>IF(F334="ocorrência","VP",IF(F334="sem ocorrência","FP",""))</f>
        <v/>
      </c>
      <c r="H334" s="7" t="n"/>
      <c r="I334" s="8">
        <f>IF(H334&lt;&gt;"",H334,G334)</f>
        <v/>
      </c>
    </row>
    <row r="335">
      <c r="A335" s="9" t="n"/>
      <c r="B335" s="9" t="n"/>
      <c r="C335" s="9" t="n"/>
      <c r="D335" s="9" t="n"/>
      <c r="E335" s="9" t="n"/>
      <c r="F335" s="8">
        <f>IF(A335="","",IFERROR(INDEX(Testes!$N$2:$N$500,MATCH(A335,Testes!$A$2:$A$500,0)),""))</f>
        <v/>
      </c>
      <c r="G335" s="8">
        <f>IF(F335="ocorrência","VP",IF(F335="sem ocorrência","FP",""))</f>
        <v/>
      </c>
      <c r="H335" s="7" t="n"/>
      <c r="I335" s="8">
        <f>IF(H335&lt;&gt;"",H335,G335)</f>
        <v/>
      </c>
    </row>
    <row r="336">
      <c r="A336" s="9" t="n"/>
      <c r="B336" s="9" t="n"/>
      <c r="C336" s="9" t="n"/>
      <c r="D336" s="9" t="n"/>
      <c r="E336" s="9" t="n"/>
      <c r="F336" s="8">
        <f>IF(A336="","",IFERROR(INDEX(Testes!$N$2:$N$500,MATCH(A336,Testes!$A$2:$A$500,0)),""))</f>
        <v/>
      </c>
      <c r="G336" s="8">
        <f>IF(F336="ocorrência","VP",IF(F336="sem ocorrência","FP",""))</f>
        <v/>
      </c>
      <c r="H336" s="7" t="n"/>
      <c r="I336" s="8">
        <f>IF(H336&lt;&gt;"",H336,G336)</f>
        <v/>
      </c>
    </row>
    <row r="337">
      <c r="A337" s="9" t="n"/>
      <c r="B337" s="9" t="n"/>
      <c r="C337" s="9" t="n"/>
      <c r="D337" s="9" t="n"/>
      <c r="E337" s="9" t="n"/>
      <c r="F337" s="8">
        <f>IF(A337="","",IFERROR(INDEX(Testes!$N$2:$N$500,MATCH(A337,Testes!$A$2:$A$500,0)),""))</f>
        <v/>
      </c>
      <c r="G337" s="8">
        <f>IF(F337="ocorrência","VP",IF(F337="sem ocorrência","FP",""))</f>
        <v/>
      </c>
      <c r="H337" s="7" t="n"/>
      <c r="I337" s="8">
        <f>IF(H337&lt;&gt;"",H337,G337)</f>
        <v/>
      </c>
    </row>
    <row r="338">
      <c r="A338" s="9" t="n"/>
      <c r="B338" s="9" t="n"/>
      <c r="C338" s="9" t="n"/>
      <c r="D338" s="9" t="n"/>
      <c r="E338" s="9" t="n"/>
      <c r="F338" s="8">
        <f>IF(A338="","",IFERROR(INDEX(Testes!$N$2:$N$500,MATCH(A338,Testes!$A$2:$A$500,0)),""))</f>
        <v/>
      </c>
      <c r="G338" s="8">
        <f>IF(F338="ocorrência","VP",IF(F338="sem ocorrência","FP",""))</f>
        <v/>
      </c>
      <c r="H338" s="7" t="n"/>
      <c r="I338" s="8">
        <f>IF(H338&lt;&gt;"",H338,G338)</f>
        <v/>
      </c>
    </row>
    <row r="339">
      <c r="A339" s="9" t="n"/>
      <c r="B339" s="9" t="n"/>
      <c r="C339" s="9" t="n"/>
      <c r="D339" s="9" t="n"/>
      <c r="E339" s="9" t="n"/>
      <c r="F339" s="8">
        <f>IF(A339="","",IFERROR(INDEX(Testes!$N$2:$N$500,MATCH(A339,Testes!$A$2:$A$500,0)),""))</f>
        <v/>
      </c>
      <c r="G339" s="8">
        <f>IF(F339="ocorrência","VP",IF(F339="sem ocorrência","FP",""))</f>
        <v/>
      </c>
      <c r="H339" s="7" t="n"/>
      <c r="I339" s="8">
        <f>IF(H339&lt;&gt;"",H339,G339)</f>
        <v/>
      </c>
    </row>
    <row r="340">
      <c r="A340" s="9" t="n"/>
      <c r="B340" s="9" t="n"/>
      <c r="C340" s="9" t="n"/>
      <c r="D340" s="9" t="n"/>
      <c r="E340" s="9" t="n"/>
      <c r="F340" s="8">
        <f>IF(A340="","",IFERROR(INDEX(Testes!$N$2:$N$500,MATCH(A340,Testes!$A$2:$A$500,0)),""))</f>
        <v/>
      </c>
      <c r="G340" s="8">
        <f>IF(F340="ocorrência","VP",IF(F340="sem ocorrência","FP",""))</f>
        <v/>
      </c>
      <c r="H340" s="7" t="n"/>
      <c r="I340" s="8">
        <f>IF(H340&lt;&gt;"",H340,G340)</f>
        <v/>
      </c>
    </row>
    <row r="341">
      <c r="A341" s="9" t="n"/>
      <c r="B341" s="9" t="n"/>
      <c r="C341" s="9" t="n"/>
      <c r="D341" s="9" t="n"/>
      <c r="E341" s="9" t="n"/>
      <c r="F341" s="8">
        <f>IF(A341="","",IFERROR(INDEX(Testes!$N$2:$N$500,MATCH(A341,Testes!$A$2:$A$500,0)),""))</f>
        <v/>
      </c>
      <c r="G341" s="8">
        <f>IF(F341="ocorrência","VP",IF(F341="sem ocorrência","FP",""))</f>
        <v/>
      </c>
      <c r="H341" s="7" t="n"/>
      <c r="I341" s="8">
        <f>IF(H341&lt;&gt;"",H341,G341)</f>
        <v/>
      </c>
    </row>
    <row r="342">
      <c r="A342" s="9" t="n"/>
      <c r="B342" s="9" t="n"/>
      <c r="C342" s="9" t="n"/>
      <c r="D342" s="9" t="n"/>
      <c r="E342" s="9" t="n"/>
      <c r="F342" s="8">
        <f>IF(A342="","",IFERROR(INDEX(Testes!$N$2:$N$500,MATCH(A342,Testes!$A$2:$A$500,0)),""))</f>
        <v/>
      </c>
      <c r="G342" s="8">
        <f>IF(F342="ocorrência","VP",IF(F342="sem ocorrência","FP",""))</f>
        <v/>
      </c>
      <c r="H342" s="7" t="n"/>
      <c r="I342" s="8">
        <f>IF(H342&lt;&gt;"",H342,G342)</f>
        <v/>
      </c>
    </row>
    <row r="343">
      <c r="A343" s="9" t="n"/>
      <c r="B343" s="9" t="n"/>
      <c r="C343" s="9" t="n"/>
      <c r="D343" s="9" t="n"/>
      <c r="E343" s="9" t="n"/>
      <c r="F343" s="8">
        <f>IF(A343="","",IFERROR(INDEX(Testes!$N$2:$N$500,MATCH(A343,Testes!$A$2:$A$500,0)),""))</f>
        <v/>
      </c>
      <c r="G343" s="8">
        <f>IF(F343="ocorrência","VP",IF(F343="sem ocorrência","FP",""))</f>
        <v/>
      </c>
      <c r="H343" s="7" t="n"/>
      <c r="I343" s="8">
        <f>IF(H343&lt;&gt;"",H343,G343)</f>
        <v/>
      </c>
    </row>
    <row r="344">
      <c r="A344" s="9" t="n"/>
      <c r="B344" s="9" t="n"/>
      <c r="C344" s="9" t="n"/>
      <c r="D344" s="9" t="n"/>
      <c r="E344" s="9" t="n"/>
      <c r="F344" s="8">
        <f>IF(A344="","",IFERROR(INDEX(Testes!$N$2:$N$500,MATCH(A344,Testes!$A$2:$A$500,0)),""))</f>
        <v/>
      </c>
      <c r="G344" s="8">
        <f>IF(F344="ocorrência","VP",IF(F344="sem ocorrência","FP",""))</f>
        <v/>
      </c>
      <c r="H344" s="7" t="n"/>
      <c r="I344" s="8">
        <f>IF(H344&lt;&gt;"",H344,G344)</f>
        <v/>
      </c>
    </row>
    <row r="345">
      <c r="A345" s="9" t="n"/>
      <c r="B345" s="9" t="n"/>
      <c r="C345" s="9" t="n"/>
      <c r="D345" s="9" t="n"/>
      <c r="E345" s="9" t="n"/>
      <c r="F345" s="8">
        <f>IF(A345="","",IFERROR(INDEX(Testes!$N$2:$N$500,MATCH(A345,Testes!$A$2:$A$500,0)),""))</f>
        <v/>
      </c>
      <c r="G345" s="8">
        <f>IF(F345="ocorrência","VP",IF(F345="sem ocorrência","FP",""))</f>
        <v/>
      </c>
      <c r="H345" s="7" t="n"/>
      <c r="I345" s="8">
        <f>IF(H345&lt;&gt;"",H345,G345)</f>
        <v/>
      </c>
    </row>
    <row r="346">
      <c r="A346" s="9" t="n"/>
      <c r="B346" s="9" t="n"/>
      <c r="C346" s="9" t="n"/>
      <c r="D346" s="9" t="n"/>
      <c r="E346" s="9" t="n"/>
      <c r="F346" s="8">
        <f>IF(A346="","",IFERROR(INDEX(Testes!$N$2:$N$500,MATCH(A346,Testes!$A$2:$A$500,0)),""))</f>
        <v/>
      </c>
      <c r="G346" s="8">
        <f>IF(F346="ocorrência","VP",IF(F346="sem ocorrência","FP",""))</f>
        <v/>
      </c>
      <c r="H346" s="7" t="n"/>
      <c r="I346" s="8">
        <f>IF(H346&lt;&gt;"",H346,G346)</f>
        <v/>
      </c>
    </row>
    <row r="347">
      <c r="A347" s="9" t="n"/>
      <c r="B347" s="9" t="n"/>
      <c r="C347" s="9" t="n"/>
      <c r="D347" s="9" t="n"/>
      <c r="E347" s="9" t="n"/>
      <c r="F347" s="8">
        <f>IF(A347="","",IFERROR(INDEX(Testes!$N$2:$N$500,MATCH(A347,Testes!$A$2:$A$500,0)),""))</f>
        <v/>
      </c>
      <c r="G347" s="8">
        <f>IF(F347="ocorrência","VP",IF(F347="sem ocorrência","FP",""))</f>
        <v/>
      </c>
      <c r="H347" s="7" t="n"/>
      <c r="I347" s="8">
        <f>IF(H347&lt;&gt;"",H347,G347)</f>
        <v/>
      </c>
    </row>
    <row r="348">
      <c r="A348" s="9" t="n"/>
      <c r="B348" s="9" t="n"/>
      <c r="C348" s="9" t="n"/>
      <c r="D348" s="9" t="n"/>
      <c r="E348" s="9" t="n"/>
      <c r="F348" s="8">
        <f>IF(A348="","",IFERROR(INDEX(Testes!$N$2:$N$500,MATCH(A348,Testes!$A$2:$A$500,0)),""))</f>
        <v/>
      </c>
      <c r="G348" s="8">
        <f>IF(F348="ocorrência","VP",IF(F348="sem ocorrência","FP",""))</f>
        <v/>
      </c>
      <c r="H348" s="7" t="n"/>
      <c r="I348" s="8">
        <f>IF(H348&lt;&gt;"",H348,G348)</f>
        <v/>
      </c>
    </row>
    <row r="349">
      <c r="A349" s="9" t="n"/>
      <c r="B349" s="9" t="n"/>
      <c r="C349" s="9" t="n"/>
      <c r="D349" s="9" t="n"/>
      <c r="E349" s="9" t="n"/>
      <c r="F349" s="8">
        <f>IF(A349="","",IFERROR(INDEX(Testes!$N$2:$N$500,MATCH(A349,Testes!$A$2:$A$500,0)),""))</f>
        <v/>
      </c>
      <c r="G349" s="8">
        <f>IF(F349="ocorrência","VP",IF(F349="sem ocorrência","FP",""))</f>
        <v/>
      </c>
      <c r="H349" s="7" t="n"/>
      <c r="I349" s="8">
        <f>IF(H349&lt;&gt;"",H349,G349)</f>
        <v/>
      </c>
    </row>
    <row r="350">
      <c r="A350" s="9" t="n"/>
      <c r="B350" s="9" t="n"/>
      <c r="C350" s="9" t="n"/>
      <c r="D350" s="9" t="n"/>
      <c r="E350" s="9" t="n"/>
      <c r="F350" s="8">
        <f>IF(A350="","",IFERROR(INDEX(Testes!$N$2:$N$500,MATCH(A350,Testes!$A$2:$A$500,0)),""))</f>
        <v/>
      </c>
      <c r="G350" s="8">
        <f>IF(F350="ocorrência","VP",IF(F350="sem ocorrência","FP",""))</f>
        <v/>
      </c>
      <c r="H350" s="7" t="n"/>
      <c r="I350" s="8">
        <f>IF(H350&lt;&gt;"",H350,G350)</f>
        <v/>
      </c>
    </row>
    <row r="351">
      <c r="A351" s="9" t="n"/>
      <c r="B351" s="9" t="n"/>
      <c r="C351" s="9" t="n"/>
      <c r="D351" s="9" t="n"/>
      <c r="E351" s="9" t="n"/>
      <c r="F351" s="8">
        <f>IF(A351="","",IFERROR(INDEX(Testes!$N$2:$N$500,MATCH(A351,Testes!$A$2:$A$500,0)),""))</f>
        <v/>
      </c>
      <c r="G351" s="8">
        <f>IF(F351="ocorrência","VP",IF(F351="sem ocorrência","FP",""))</f>
        <v/>
      </c>
      <c r="H351" s="7" t="n"/>
      <c r="I351" s="8">
        <f>IF(H351&lt;&gt;"",H351,G351)</f>
        <v/>
      </c>
    </row>
    <row r="352">
      <c r="A352" s="9" t="n"/>
      <c r="B352" s="9" t="n"/>
      <c r="C352" s="9" t="n"/>
      <c r="D352" s="9" t="n"/>
      <c r="E352" s="9" t="n"/>
      <c r="F352" s="8">
        <f>IF(A352="","",IFERROR(INDEX(Testes!$N$2:$N$500,MATCH(A352,Testes!$A$2:$A$500,0)),""))</f>
        <v/>
      </c>
      <c r="G352" s="8">
        <f>IF(F352="ocorrência","VP",IF(F352="sem ocorrência","FP",""))</f>
        <v/>
      </c>
      <c r="H352" s="7" t="n"/>
      <c r="I352" s="8">
        <f>IF(H352&lt;&gt;"",H352,G352)</f>
        <v/>
      </c>
    </row>
    <row r="353">
      <c r="A353" s="9" t="n"/>
      <c r="B353" s="9" t="n"/>
      <c r="C353" s="9" t="n"/>
      <c r="D353" s="9" t="n"/>
      <c r="E353" s="9" t="n"/>
      <c r="F353" s="8">
        <f>IF(A353="","",IFERROR(INDEX(Testes!$N$2:$N$500,MATCH(A353,Testes!$A$2:$A$500,0)),""))</f>
        <v/>
      </c>
      <c r="G353" s="8">
        <f>IF(F353="ocorrência","VP",IF(F353="sem ocorrência","FP",""))</f>
        <v/>
      </c>
      <c r="H353" s="7" t="n"/>
      <c r="I353" s="8">
        <f>IF(H353&lt;&gt;"",H353,G353)</f>
        <v/>
      </c>
    </row>
    <row r="354">
      <c r="A354" s="9" t="n"/>
      <c r="B354" s="9" t="n"/>
      <c r="C354" s="9" t="n"/>
      <c r="D354" s="9" t="n"/>
      <c r="E354" s="9" t="n"/>
      <c r="F354" s="8">
        <f>IF(A354="","",IFERROR(INDEX(Testes!$N$2:$N$500,MATCH(A354,Testes!$A$2:$A$500,0)),""))</f>
        <v/>
      </c>
      <c r="G354" s="8">
        <f>IF(F354="ocorrência","VP",IF(F354="sem ocorrência","FP",""))</f>
        <v/>
      </c>
      <c r="H354" s="7" t="n"/>
      <c r="I354" s="8">
        <f>IF(H354&lt;&gt;"",H354,G354)</f>
        <v/>
      </c>
    </row>
    <row r="355">
      <c r="A355" s="9" t="n"/>
      <c r="B355" s="9" t="n"/>
      <c r="C355" s="9" t="n"/>
      <c r="D355" s="9" t="n"/>
      <c r="E355" s="9" t="n"/>
      <c r="F355" s="8">
        <f>IF(A355="","",IFERROR(INDEX(Testes!$N$2:$N$500,MATCH(A355,Testes!$A$2:$A$500,0)),""))</f>
        <v/>
      </c>
      <c r="G355" s="8">
        <f>IF(F355="ocorrência","VP",IF(F355="sem ocorrência","FP",""))</f>
        <v/>
      </c>
      <c r="H355" s="7" t="n"/>
      <c r="I355" s="8">
        <f>IF(H355&lt;&gt;"",H355,G355)</f>
        <v/>
      </c>
    </row>
    <row r="356">
      <c r="A356" s="9" t="n"/>
      <c r="B356" s="9" t="n"/>
      <c r="C356" s="9" t="n"/>
      <c r="D356" s="9" t="n"/>
      <c r="E356" s="9" t="n"/>
      <c r="F356" s="8">
        <f>IF(A356="","",IFERROR(INDEX(Testes!$N$2:$N$500,MATCH(A356,Testes!$A$2:$A$500,0)),""))</f>
        <v/>
      </c>
      <c r="G356" s="8">
        <f>IF(F356="ocorrência","VP",IF(F356="sem ocorrência","FP",""))</f>
        <v/>
      </c>
      <c r="H356" s="7" t="n"/>
      <c r="I356" s="8">
        <f>IF(H356&lt;&gt;"",H356,G356)</f>
        <v/>
      </c>
    </row>
    <row r="357">
      <c r="A357" s="9" t="n"/>
      <c r="B357" s="9" t="n"/>
      <c r="C357" s="9" t="n"/>
      <c r="D357" s="9" t="n"/>
      <c r="E357" s="9" t="n"/>
      <c r="F357" s="8">
        <f>IF(A357="","",IFERROR(INDEX(Testes!$N$2:$N$500,MATCH(A357,Testes!$A$2:$A$500,0)),""))</f>
        <v/>
      </c>
      <c r="G357" s="8">
        <f>IF(F357="ocorrência","VP",IF(F357="sem ocorrência","FP",""))</f>
        <v/>
      </c>
      <c r="H357" s="7" t="n"/>
      <c r="I357" s="8">
        <f>IF(H357&lt;&gt;"",H357,G357)</f>
        <v/>
      </c>
    </row>
    <row r="358">
      <c r="A358" s="9" t="n"/>
      <c r="B358" s="9" t="n"/>
      <c r="C358" s="9" t="n"/>
      <c r="D358" s="9" t="n"/>
      <c r="E358" s="9" t="n"/>
      <c r="F358" s="8">
        <f>IF(A358="","",IFERROR(INDEX(Testes!$N$2:$N$500,MATCH(A358,Testes!$A$2:$A$500,0)),""))</f>
        <v/>
      </c>
      <c r="G358" s="8">
        <f>IF(F358="ocorrência","VP",IF(F358="sem ocorrência","FP",""))</f>
        <v/>
      </c>
      <c r="H358" s="7" t="n"/>
      <c r="I358" s="8">
        <f>IF(H358&lt;&gt;"",H358,G358)</f>
        <v/>
      </c>
    </row>
    <row r="359">
      <c r="A359" s="9" t="n"/>
      <c r="B359" s="9" t="n"/>
      <c r="C359" s="9" t="n"/>
      <c r="D359" s="9" t="n"/>
      <c r="E359" s="9" t="n"/>
      <c r="F359" s="8">
        <f>IF(A359="","",IFERROR(INDEX(Testes!$N$2:$N$500,MATCH(A359,Testes!$A$2:$A$500,0)),""))</f>
        <v/>
      </c>
      <c r="G359" s="8">
        <f>IF(F359="ocorrência","VP",IF(F359="sem ocorrência","FP",""))</f>
        <v/>
      </c>
      <c r="H359" s="7" t="n"/>
      <c r="I359" s="8">
        <f>IF(H359&lt;&gt;"",H359,G359)</f>
        <v/>
      </c>
    </row>
    <row r="360">
      <c r="A360" s="9" t="n"/>
      <c r="B360" s="9" t="n"/>
      <c r="C360" s="9" t="n"/>
      <c r="D360" s="9" t="n"/>
      <c r="E360" s="9" t="n"/>
      <c r="F360" s="8">
        <f>IF(A360="","",IFERROR(INDEX(Testes!$N$2:$N$500,MATCH(A360,Testes!$A$2:$A$500,0)),""))</f>
        <v/>
      </c>
      <c r="G360" s="8">
        <f>IF(F360="ocorrência","VP",IF(F360="sem ocorrência","FP",""))</f>
        <v/>
      </c>
      <c r="H360" s="7" t="n"/>
      <c r="I360" s="8">
        <f>IF(H360&lt;&gt;"",H360,G360)</f>
        <v/>
      </c>
    </row>
    <row r="361">
      <c r="A361" s="9" t="n"/>
      <c r="B361" s="9" t="n"/>
      <c r="C361" s="9" t="n"/>
      <c r="D361" s="9" t="n"/>
      <c r="E361" s="9" t="n"/>
      <c r="F361" s="8">
        <f>IF(A361="","",IFERROR(INDEX(Testes!$N$2:$N$500,MATCH(A361,Testes!$A$2:$A$500,0)),""))</f>
        <v/>
      </c>
      <c r="G361" s="8">
        <f>IF(F361="ocorrência","VP",IF(F361="sem ocorrência","FP",""))</f>
        <v/>
      </c>
      <c r="H361" s="7" t="n"/>
      <c r="I361" s="8">
        <f>IF(H361&lt;&gt;"",H361,G361)</f>
        <v/>
      </c>
    </row>
    <row r="362">
      <c r="A362" s="9" t="n"/>
      <c r="B362" s="9" t="n"/>
      <c r="C362" s="9" t="n"/>
      <c r="D362" s="9" t="n"/>
      <c r="E362" s="9" t="n"/>
      <c r="F362" s="8">
        <f>IF(A362="","",IFERROR(INDEX(Testes!$N$2:$N$500,MATCH(A362,Testes!$A$2:$A$500,0)),""))</f>
        <v/>
      </c>
      <c r="G362" s="8">
        <f>IF(F362="ocorrência","VP",IF(F362="sem ocorrência","FP",""))</f>
        <v/>
      </c>
      <c r="H362" s="7" t="n"/>
      <c r="I362" s="8">
        <f>IF(H362&lt;&gt;"",H362,G362)</f>
        <v/>
      </c>
    </row>
    <row r="363">
      <c r="A363" s="9" t="n"/>
      <c r="B363" s="9" t="n"/>
      <c r="C363" s="9" t="n"/>
      <c r="D363" s="9" t="n"/>
      <c r="E363" s="9" t="n"/>
      <c r="F363" s="8">
        <f>IF(A363="","",IFERROR(INDEX(Testes!$N$2:$N$500,MATCH(A363,Testes!$A$2:$A$500,0)),""))</f>
        <v/>
      </c>
      <c r="G363" s="8">
        <f>IF(F363="ocorrência","VP",IF(F363="sem ocorrência","FP",""))</f>
        <v/>
      </c>
      <c r="H363" s="7" t="n"/>
      <c r="I363" s="8">
        <f>IF(H363&lt;&gt;"",H363,G363)</f>
        <v/>
      </c>
    </row>
    <row r="364">
      <c r="A364" s="9" t="n"/>
      <c r="B364" s="9" t="n"/>
      <c r="C364" s="9" t="n"/>
      <c r="D364" s="9" t="n"/>
      <c r="E364" s="9" t="n"/>
      <c r="F364" s="8">
        <f>IF(A364="","",IFERROR(INDEX(Testes!$N$2:$N$500,MATCH(A364,Testes!$A$2:$A$500,0)),""))</f>
        <v/>
      </c>
      <c r="G364" s="8">
        <f>IF(F364="ocorrência","VP",IF(F364="sem ocorrência","FP",""))</f>
        <v/>
      </c>
      <c r="H364" s="7" t="n"/>
      <c r="I364" s="8">
        <f>IF(H364&lt;&gt;"",H364,G364)</f>
        <v/>
      </c>
    </row>
    <row r="365">
      <c r="A365" s="9" t="n"/>
      <c r="B365" s="9" t="n"/>
      <c r="C365" s="9" t="n"/>
      <c r="D365" s="9" t="n"/>
      <c r="E365" s="9" t="n"/>
      <c r="F365" s="8">
        <f>IF(A365="","",IFERROR(INDEX(Testes!$N$2:$N$500,MATCH(A365,Testes!$A$2:$A$500,0)),""))</f>
        <v/>
      </c>
      <c r="G365" s="8">
        <f>IF(F365="ocorrência","VP",IF(F365="sem ocorrência","FP",""))</f>
        <v/>
      </c>
      <c r="H365" s="7" t="n"/>
      <c r="I365" s="8">
        <f>IF(H365&lt;&gt;"",H365,G365)</f>
        <v/>
      </c>
    </row>
    <row r="366">
      <c r="A366" s="9" t="n"/>
      <c r="B366" s="9" t="n"/>
      <c r="C366" s="9" t="n"/>
      <c r="D366" s="9" t="n"/>
      <c r="E366" s="9" t="n"/>
      <c r="F366" s="8">
        <f>IF(A366="","",IFERROR(INDEX(Testes!$N$2:$N$500,MATCH(A366,Testes!$A$2:$A$500,0)),""))</f>
        <v/>
      </c>
      <c r="G366" s="8">
        <f>IF(F366="ocorrência","VP",IF(F366="sem ocorrência","FP",""))</f>
        <v/>
      </c>
      <c r="H366" s="7" t="n"/>
      <c r="I366" s="8">
        <f>IF(H366&lt;&gt;"",H366,G366)</f>
        <v/>
      </c>
    </row>
    <row r="367">
      <c r="A367" s="9" t="n"/>
      <c r="B367" s="9" t="n"/>
      <c r="C367" s="9" t="n"/>
      <c r="D367" s="9" t="n"/>
      <c r="E367" s="9" t="n"/>
      <c r="F367" s="8">
        <f>IF(A367="","",IFERROR(INDEX(Testes!$N$2:$N$500,MATCH(A367,Testes!$A$2:$A$500,0)),""))</f>
        <v/>
      </c>
      <c r="G367" s="8">
        <f>IF(F367="ocorrência","VP",IF(F367="sem ocorrência","FP",""))</f>
        <v/>
      </c>
      <c r="H367" s="7" t="n"/>
      <c r="I367" s="8">
        <f>IF(H367&lt;&gt;"",H367,G367)</f>
        <v/>
      </c>
    </row>
    <row r="368">
      <c r="A368" s="9" t="n"/>
      <c r="B368" s="9" t="n"/>
      <c r="C368" s="9" t="n"/>
      <c r="D368" s="9" t="n"/>
      <c r="E368" s="9" t="n"/>
      <c r="F368" s="8">
        <f>IF(A368="","",IFERROR(INDEX(Testes!$N$2:$N$500,MATCH(A368,Testes!$A$2:$A$500,0)),""))</f>
        <v/>
      </c>
      <c r="G368" s="8">
        <f>IF(F368="ocorrência","VP",IF(F368="sem ocorrência","FP",""))</f>
        <v/>
      </c>
      <c r="H368" s="7" t="n"/>
      <c r="I368" s="8">
        <f>IF(H368&lt;&gt;"",H368,G368)</f>
        <v/>
      </c>
    </row>
    <row r="369">
      <c r="A369" s="9" t="n"/>
      <c r="B369" s="9" t="n"/>
      <c r="C369" s="9" t="n"/>
      <c r="D369" s="9" t="n"/>
      <c r="E369" s="9" t="n"/>
      <c r="F369" s="8">
        <f>IF(A369="","",IFERROR(INDEX(Testes!$N$2:$N$500,MATCH(A369,Testes!$A$2:$A$500,0)),""))</f>
        <v/>
      </c>
      <c r="G369" s="8">
        <f>IF(F369="ocorrência","VP",IF(F369="sem ocorrência","FP",""))</f>
        <v/>
      </c>
      <c r="H369" s="7" t="n"/>
      <c r="I369" s="8">
        <f>IF(H369&lt;&gt;"",H369,G369)</f>
        <v/>
      </c>
    </row>
    <row r="370">
      <c r="A370" s="9" t="n"/>
      <c r="B370" s="9" t="n"/>
      <c r="C370" s="9" t="n"/>
      <c r="D370" s="9" t="n"/>
      <c r="E370" s="9" t="n"/>
      <c r="F370" s="8">
        <f>IF(A370="","",IFERROR(INDEX(Testes!$N$2:$N$500,MATCH(A370,Testes!$A$2:$A$500,0)),""))</f>
        <v/>
      </c>
      <c r="G370" s="8">
        <f>IF(F370="ocorrência","VP",IF(F370="sem ocorrência","FP",""))</f>
        <v/>
      </c>
      <c r="H370" s="7" t="n"/>
      <c r="I370" s="8">
        <f>IF(H370&lt;&gt;"",H370,G370)</f>
        <v/>
      </c>
    </row>
    <row r="371">
      <c r="A371" s="9" t="n"/>
      <c r="B371" s="9" t="n"/>
      <c r="C371" s="9" t="n"/>
      <c r="D371" s="9" t="n"/>
      <c r="E371" s="9" t="n"/>
      <c r="F371" s="8">
        <f>IF(A371="","",IFERROR(INDEX(Testes!$N$2:$N$500,MATCH(A371,Testes!$A$2:$A$500,0)),""))</f>
        <v/>
      </c>
      <c r="G371" s="8">
        <f>IF(F371="ocorrência","VP",IF(F371="sem ocorrência","FP",""))</f>
        <v/>
      </c>
      <c r="H371" s="7" t="n"/>
      <c r="I371" s="8">
        <f>IF(H371&lt;&gt;"",H371,G371)</f>
        <v/>
      </c>
    </row>
    <row r="372">
      <c r="A372" s="9" t="n"/>
      <c r="B372" s="9" t="n"/>
      <c r="C372" s="9" t="n"/>
      <c r="D372" s="9" t="n"/>
      <c r="E372" s="9" t="n"/>
      <c r="F372" s="8">
        <f>IF(A372="","",IFERROR(INDEX(Testes!$N$2:$N$500,MATCH(A372,Testes!$A$2:$A$500,0)),""))</f>
        <v/>
      </c>
      <c r="G372" s="8">
        <f>IF(F372="ocorrência","VP",IF(F372="sem ocorrência","FP",""))</f>
        <v/>
      </c>
      <c r="H372" s="7" t="n"/>
      <c r="I372" s="8">
        <f>IF(H372&lt;&gt;"",H372,G372)</f>
        <v/>
      </c>
    </row>
    <row r="373">
      <c r="A373" s="9" t="n"/>
      <c r="B373" s="9" t="n"/>
      <c r="C373" s="9" t="n"/>
      <c r="D373" s="9" t="n"/>
      <c r="E373" s="9" t="n"/>
      <c r="F373" s="8">
        <f>IF(A373="","",IFERROR(INDEX(Testes!$N$2:$N$500,MATCH(A373,Testes!$A$2:$A$500,0)),""))</f>
        <v/>
      </c>
      <c r="G373" s="8">
        <f>IF(F373="ocorrência","VP",IF(F373="sem ocorrência","FP",""))</f>
        <v/>
      </c>
      <c r="H373" s="7" t="n"/>
      <c r="I373" s="8">
        <f>IF(H373&lt;&gt;"",H373,G373)</f>
        <v/>
      </c>
    </row>
    <row r="374">
      <c r="A374" s="9" t="n"/>
      <c r="B374" s="9" t="n"/>
      <c r="C374" s="9" t="n"/>
      <c r="D374" s="9" t="n"/>
      <c r="E374" s="9" t="n"/>
      <c r="F374" s="8">
        <f>IF(A374="","",IFERROR(INDEX(Testes!$N$2:$N$500,MATCH(A374,Testes!$A$2:$A$500,0)),""))</f>
        <v/>
      </c>
      <c r="G374" s="8">
        <f>IF(F374="ocorrência","VP",IF(F374="sem ocorrência","FP",""))</f>
        <v/>
      </c>
      <c r="H374" s="7" t="n"/>
      <c r="I374" s="8">
        <f>IF(H374&lt;&gt;"",H374,G374)</f>
        <v/>
      </c>
    </row>
    <row r="375">
      <c r="A375" s="9" t="n"/>
      <c r="B375" s="9" t="n"/>
      <c r="C375" s="9" t="n"/>
      <c r="D375" s="9" t="n"/>
      <c r="E375" s="9" t="n"/>
      <c r="F375" s="8">
        <f>IF(A375="","",IFERROR(INDEX(Testes!$N$2:$N$500,MATCH(A375,Testes!$A$2:$A$500,0)),""))</f>
        <v/>
      </c>
      <c r="G375" s="8">
        <f>IF(F375="ocorrência","VP",IF(F375="sem ocorrência","FP",""))</f>
        <v/>
      </c>
      <c r="H375" s="7" t="n"/>
      <c r="I375" s="8">
        <f>IF(H375&lt;&gt;"",H375,G375)</f>
        <v/>
      </c>
    </row>
    <row r="376">
      <c r="A376" s="9" t="n"/>
      <c r="B376" s="9" t="n"/>
      <c r="C376" s="9" t="n"/>
      <c r="D376" s="9" t="n"/>
      <c r="E376" s="9" t="n"/>
      <c r="F376" s="8">
        <f>IF(A376="","",IFERROR(INDEX(Testes!$N$2:$N$500,MATCH(A376,Testes!$A$2:$A$500,0)),""))</f>
        <v/>
      </c>
      <c r="G376" s="8">
        <f>IF(F376="ocorrência","VP",IF(F376="sem ocorrência","FP",""))</f>
        <v/>
      </c>
      <c r="H376" s="7" t="n"/>
      <c r="I376" s="8">
        <f>IF(H376&lt;&gt;"",H376,G376)</f>
        <v/>
      </c>
    </row>
    <row r="377">
      <c r="A377" s="9" t="n"/>
      <c r="B377" s="9" t="n"/>
      <c r="C377" s="9" t="n"/>
      <c r="D377" s="9" t="n"/>
      <c r="E377" s="9" t="n"/>
      <c r="F377" s="8">
        <f>IF(A377="","",IFERROR(INDEX(Testes!$N$2:$N$500,MATCH(A377,Testes!$A$2:$A$500,0)),""))</f>
        <v/>
      </c>
      <c r="G377" s="8">
        <f>IF(F377="ocorrência","VP",IF(F377="sem ocorrência","FP",""))</f>
        <v/>
      </c>
      <c r="H377" s="7" t="n"/>
      <c r="I377" s="8">
        <f>IF(H377&lt;&gt;"",H377,G377)</f>
        <v/>
      </c>
    </row>
    <row r="378">
      <c r="A378" s="9" t="n"/>
      <c r="B378" s="9" t="n"/>
      <c r="C378" s="9" t="n"/>
      <c r="D378" s="9" t="n"/>
      <c r="E378" s="9" t="n"/>
      <c r="F378" s="8">
        <f>IF(A378="","",IFERROR(INDEX(Testes!$N$2:$N$500,MATCH(A378,Testes!$A$2:$A$500,0)),""))</f>
        <v/>
      </c>
      <c r="G378" s="8">
        <f>IF(F378="ocorrência","VP",IF(F378="sem ocorrência","FP",""))</f>
        <v/>
      </c>
      <c r="H378" s="7" t="n"/>
      <c r="I378" s="8">
        <f>IF(H378&lt;&gt;"",H378,G378)</f>
        <v/>
      </c>
    </row>
    <row r="379">
      <c r="A379" s="9" t="n"/>
      <c r="B379" s="9" t="n"/>
      <c r="C379" s="9" t="n"/>
      <c r="D379" s="9" t="n"/>
      <c r="E379" s="9" t="n"/>
      <c r="F379" s="8">
        <f>IF(A379="","",IFERROR(INDEX(Testes!$N$2:$N$500,MATCH(A379,Testes!$A$2:$A$500,0)),""))</f>
        <v/>
      </c>
      <c r="G379" s="8">
        <f>IF(F379="ocorrência","VP",IF(F379="sem ocorrência","FP",""))</f>
        <v/>
      </c>
      <c r="H379" s="7" t="n"/>
      <c r="I379" s="8">
        <f>IF(H379&lt;&gt;"",H379,G379)</f>
        <v/>
      </c>
    </row>
    <row r="380">
      <c r="A380" s="9" t="n"/>
      <c r="B380" s="9" t="n"/>
      <c r="C380" s="9" t="n"/>
      <c r="D380" s="9" t="n"/>
      <c r="E380" s="9" t="n"/>
      <c r="F380" s="8">
        <f>IF(A380="","",IFERROR(INDEX(Testes!$N$2:$N$500,MATCH(A380,Testes!$A$2:$A$500,0)),""))</f>
        <v/>
      </c>
      <c r="G380" s="8">
        <f>IF(F380="ocorrência","VP",IF(F380="sem ocorrência","FP",""))</f>
        <v/>
      </c>
      <c r="H380" s="7" t="n"/>
      <c r="I380" s="8">
        <f>IF(H380&lt;&gt;"",H380,G380)</f>
        <v/>
      </c>
    </row>
    <row r="381">
      <c r="A381" s="9" t="n"/>
      <c r="B381" s="9" t="n"/>
      <c r="C381" s="9" t="n"/>
      <c r="D381" s="9" t="n"/>
      <c r="E381" s="9" t="n"/>
      <c r="F381" s="8">
        <f>IF(A381="","",IFERROR(INDEX(Testes!$N$2:$N$500,MATCH(A381,Testes!$A$2:$A$500,0)),""))</f>
        <v/>
      </c>
      <c r="G381" s="8">
        <f>IF(F381="ocorrência","VP",IF(F381="sem ocorrência","FP",""))</f>
        <v/>
      </c>
      <c r="H381" s="7" t="n"/>
      <c r="I381" s="8">
        <f>IF(H381&lt;&gt;"",H381,G381)</f>
        <v/>
      </c>
    </row>
    <row r="382">
      <c r="A382" s="9" t="n"/>
      <c r="B382" s="9" t="n"/>
      <c r="C382" s="9" t="n"/>
      <c r="D382" s="9" t="n"/>
      <c r="E382" s="9" t="n"/>
      <c r="F382" s="8">
        <f>IF(A382="","",IFERROR(INDEX(Testes!$N$2:$N$500,MATCH(A382,Testes!$A$2:$A$500,0)),""))</f>
        <v/>
      </c>
      <c r="G382" s="8">
        <f>IF(F382="ocorrência","VP",IF(F382="sem ocorrência","FP",""))</f>
        <v/>
      </c>
      <c r="H382" s="7" t="n"/>
      <c r="I382" s="8">
        <f>IF(H382&lt;&gt;"",H382,G382)</f>
        <v/>
      </c>
    </row>
    <row r="383">
      <c r="A383" s="9" t="n"/>
      <c r="B383" s="9" t="n"/>
      <c r="C383" s="9" t="n"/>
      <c r="D383" s="9" t="n"/>
      <c r="E383" s="9" t="n"/>
      <c r="F383" s="8">
        <f>IF(A383="","",IFERROR(INDEX(Testes!$N$2:$N$500,MATCH(A383,Testes!$A$2:$A$500,0)),""))</f>
        <v/>
      </c>
      <c r="G383" s="8">
        <f>IF(F383="ocorrência","VP",IF(F383="sem ocorrência","FP",""))</f>
        <v/>
      </c>
      <c r="H383" s="7" t="n"/>
      <c r="I383" s="8">
        <f>IF(H383&lt;&gt;"",H383,G383)</f>
        <v/>
      </c>
    </row>
    <row r="384">
      <c r="A384" s="9" t="n"/>
      <c r="B384" s="9" t="n"/>
      <c r="C384" s="9" t="n"/>
      <c r="D384" s="9" t="n"/>
      <c r="E384" s="9" t="n"/>
      <c r="F384" s="8">
        <f>IF(A384="","",IFERROR(INDEX(Testes!$N$2:$N$500,MATCH(A384,Testes!$A$2:$A$500,0)),""))</f>
        <v/>
      </c>
      <c r="G384" s="8">
        <f>IF(F384="ocorrência","VP",IF(F384="sem ocorrência","FP",""))</f>
        <v/>
      </c>
      <c r="H384" s="7" t="n"/>
      <c r="I384" s="8">
        <f>IF(H384&lt;&gt;"",H384,G384)</f>
        <v/>
      </c>
    </row>
    <row r="385">
      <c r="A385" s="9" t="n"/>
      <c r="B385" s="9" t="n"/>
      <c r="C385" s="9" t="n"/>
      <c r="D385" s="9" t="n"/>
      <c r="E385" s="9" t="n"/>
      <c r="F385" s="8">
        <f>IF(A385="","",IFERROR(INDEX(Testes!$N$2:$N$500,MATCH(A385,Testes!$A$2:$A$500,0)),""))</f>
        <v/>
      </c>
      <c r="G385" s="8">
        <f>IF(F385="ocorrência","VP",IF(F385="sem ocorrência","FP",""))</f>
        <v/>
      </c>
      <c r="H385" s="7" t="n"/>
      <c r="I385" s="8">
        <f>IF(H385&lt;&gt;"",H385,G385)</f>
        <v/>
      </c>
    </row>
    <row r="386">
      <c r="A386" s="9" t="n"/>
      <c r="B386" s="9" t="n"/>
      <c r="C386" s="9" t="n"/>
      <c r="D386" s="9" t="n"/>
      <c r="E386" s="9" t="n"/>
      <c r="F386" s="8">
        <f>IF(A386="","",IFERROR(INDEX(Testes!$N$2:$N$500,MATCH(A386,Testes!$A$2:$A$500,0)),""))</f>
        <v/>
      </c>
      <c r="G386" s="8">
        <f>IF(F386="ocorrência","VP",IF(F386="sem ocorrência","FP",""))</f>
        <v/>
      </c>
      <c r="H386" s="7" t="n"/>
      <c r="I386" s="8">
        <f>IF(H386&lt;&gt;"",H386,G386)</f>
        <v/>
      </c>
    </row>
    <row r="387">
      <c r="A387" s="9" t="n"/>
      <c r="B387" s="9" t="n"/>
      <c r="C387" s="9" t="n"/>
      <c r="D387" s="9" t="n"/>
      <c r="E387" s="9" t="n"/>
      <c r="F387" s="8">
        <f>IF(A387="","",IFERROR(INDEX(Testes!$N$2:$N$500,MATCH(A387,Testes!$A$2:$A$500,0)),""))</f>
        <v/>
      </c>
      <c r="G387" s="8">
        <f>IF(F387="ocorrência","VP",IF(F387="sem ocorrência","FP",""))</f>
        <v/>
      </c>
      <c r="H387" s="7" t="n"/>
      <c r="I387" s="8">
        <f>IF(H387&lt;&gt;"",H387,G387)</f>
        <v/>
      </c>
    </row>
    <row r="388">
      <c r="A388" s="9" t="n"/>
      <c r="B388" s="9" t="n"/>
      <c r="C388" s="9" t="n"/>
      <c r="D388" s="9" t="n"/>
      <c r="E388" s="9" t="n"/>
      <c r="F388" s="8">
        <f>IF(A388="","",IFERROR(INDEX(Testes!$N$2:$N$500,MATCH(A388,Testes!$A$2:$A$500,0)),""))</f>
        <v/>
      </c>
      <c r="G388" s="8">
        <f>IF(F388="ocorrência","VP",IF(F388="sem ocorrência","FP",""))</f>
        <v/>
      </c>
      <c r="H388" s="7" t="n"/>
      <c r="I388" s="8">
        <f>IF(H388&lt;&gt;"",H388,G388)</f>
        <v/>
      </c>
    </row>
    <row r="389">
      <c r="A389" s="9" t="n"/>
      <c r="B389" s="9" t="n"/>
      <c r="C389" s="9" t="n"/>
      <c r="D389" s="9" t="n"/>
      <c r="E389" s="9" t="n"/>
      <c r="F389" s="8">
        <f>IF(A389="","",IFERROR(INDEX(Testes!$N$2:$N$500,MATCH(A389,Testes!$A$2:$A$500,0)),""))</f>
        <v/>
      </c>
      <c r="G389" s="8">
        <f>IF(F389="ocorrência","VP",IF(F389="sem ocorrência","FP",""))</f>
        <v/>
      </c>
      <c r="H389" s="7" t="n"/>
      <c r="I389" s="8">
        <f>IF(H389&lt;&gt;"",H389,G389)</f>
        <v/>
      </c>
    </row>
    <row r="390">
      <c r="A390" s="9" t="n"/>
      <c r="B390" s="9" t="n"/>
      <c r="C390" s="9" t="n"/>
      <c r="D390" s="9" t="n"/>
      <c r="E390" s="9" t="n"/>
      <c r="F390" s="8">
        <f>IF(A390="","",IFERROR(INDEX(Testes!$N$2:$N$500,MATCH(A390,Testes!$A$2:$A$500,0)),""))</f>
        <v/>
      </c>
      <c r="G390" s="8">
        <f>IF(F390="ocorrência","VP",IF(F390="sem ocorrência","FP",""))</f>
        <v/>
      </c>
      <c r="H390" s="7" t="n"/>
      <c r="I390" s="8">
        <f>IF(H390&lt;&gt;"",H390,G390)</f>
        <v/>
      </c>
    </row>
    <row r="391">
      <c r="A391" s="9" t="n"/>
      <c r="B391" s="9" t="n"/>
      <c r="C391" s="9" t="n"/>
      <c r="D391" s="9" t="n"/>
      <c r="E391" s="9" t="n"/>
      <c r="F391" s="8">
        <f>IF(A391="","",IFERROR(INDEX(Testes!$N$2:$N$500,MATCH(A391,Testes!$A$2:$A$500,0)),""))</f>
        <v/>
      </c>
      <c r="G391" s="8">
        <f>IF(F391="ocorrência","VP",IF(F391="sem ocorrência","FP",""))</f>
        <v/>
      </c>
      <c r="H391" s="7" t="n"/>
      <c r="I391" s="8">
        <f>IF(H391&lt;&gt;"",H391,G391)</f>
        <v/>
      </c>
    </row>
    <row r="392">
      <c r="A392" s="9" t="n"/>
      <c r="B392" s="9" t="n"/>
      <c r="C392" s="9" t="n"/>
      <c r="D392" s="9" t="n"/>
      <c r="E392" s="9" t="n"/>
      <c r="F392" s="8">
        <f>IF(A392="","",IFERROR(INDEX(Testes!$N$2:$N$500,MATCH(A392,Testes!$A$2:$A$500,0)),""))</f>
        <v/>
      </c>
      <c r="G392" s="8">
        <f>IF(F392="ocorrência","VP",IF(F392="sem ocorrência","FP",""))</f>
        <v/>
      </c>
      <c r="H392" s="7" t="n"/>
      <c r="I392" s="8">
        <f>IF(H392&lt;&gt;"",H392,G392)</f>
        <v/>
      </c>
    </row>
    <row r="393">
      <c r="A393" s="9" t="n"/>
      <c r="B393" s="9" t="n"/>
      <c r="C393" s="9" t="n"/>
      <c r="D393" s="9" t="n"/>
      <c r="E393" s="9" t="n"/>
      <c r="F393" s="8">
        <f>IF(A393="","",IFERROR(INDEX(Testes!$N$2:$N$500,MATCH(A393,Testes!$A$2:$A$500,0)),""))</f>
        <v/>
      </c>
      <c r="G393" s="8">
        <f>IF(F393="ocorrência","VP",IF(F393="sem ocorrência","FP",""))</f>
        <v/>
      </c>
      <c r="H393" s="7" t="n"/>
      <c r="I393" s="8">
        <f>IF(H393&lt;&gt;"",H393,G393)</f>
        <v/>
      </c>
    </row>
    <row r="394">
      <c r="A394" s="9" t="n"/>
      <c r="B394" s="9" t="n"/>
      <c r="C394" s="9" t="n"/>
      <c r="D394" s="9" t="n"/>
      <c r="E394" s="9" t="n"/>
      <c r="F394" s="8">
        <f>IF(A394="","",IFERROR(INDEX(Testes!$N$2:$N$500,MATCH(A394,Testes!$A$2:$A$500,0)),""))</f>
        <v/>
      </c>
      <c r="G394" s="8">
        <f>IF(F394="ocorrência","VP",IF(F394="sem ocorrência","FP",""))</f>
        <v/>
      </c>
      <c r="H394" s="7" t="n"/>
      <c r="I394" s="8">
        <f>IF(H394&lt;&gt;"",H394,G394)</f>
        <v/>
      </c>
    </row>
    <row r="395">
      <c r="A395" s="9" t="n"/>
      <c r="B395" s="9" t="n"/>
      <c r="C395" s="9" t="n"/>
      <c r="D395" s="9" t="n"/>
      <c r="E395" s="9" t="n"/>
      <c r="F395" s="8">
        <f>IF(A395="","",IFERROR(INDEX(Testes!$N$2:$N$500,MATCH(A395,Testes!$A$2:$A$500,0)),""))</f>
        <v/>
      </c>
      <c r="G395" s="8">
        <f>IF(F395="ocorrência","VP",IF(F395="sem ocorrência","FP",""))</f>
        <v/>
      </c>
      <c r="H395" s="7" t="n"/>
      <c r="I395" s="8">
        <f>IF(H395&lt;&gt;"",H395,G395)</f>
        <v/>
      </c>
    </row>
    <row r="396">
      <c r="A396" s="9" t="n"/>
      <c r="B396" s="9" t="n"/>
      <c r="C396" s="9" t="n"/>
      <c r="D396" s="9" t="n"/>
      <c r="E396" s="9" t="n"/>
      <c r="F396" s="8">
        <f>IF(A396="","",IFERROR(INDEX(Testes!$N$2:$N$500,MATCH(A396,Testes!$A$2:$A$500,0)),""))</f>
        <v/>
      </c>
      <c r="G396" s="8">
        <f>IF(F396="ocorrência","VP",IF(F396="sem ocorrência","FP",""))</f>
        <v/>
      </c>
      <c r="H396" s="7" t="n"/>
      <c r="I396" s="8">
        <f>IF(H396&lt;&gt;"",H396,G396)</f>
        <v/>
      </c>
    </row>
    <row r="397">
      <c r="A397" s="9" t="n"/>
      <c r="B397" s="9" t="n"/>
      <c r="C397" s="9" t="n"/>
      <c r="D397" s="9" t="n"/>
      <c r="E397" s="9" t="n"/>
      <c r="F397" s="8">
        <f>IF(A397="","",IFERROR(INDEX(Testes!$N$2:$N$500,MATCH(A397,Testes!$A$2:$A$500,0)),""))</f>
        <v/>
      </c>
      <c r="G397" s="8">
        <f>IF(F397="ocorrência","VP",IF(F397="sem ocorrência","FP",""))</f>
        <v/>
      </c>
      <c r="H397" s="7" t="n"/>
      <c r="I397" s="8">
        <f>IF(H397&lt;&gt;"",H397,G397)</f>
        <v/>
      </c>
    </row>
    <row r="398">
      <c r="A398" s="9" t="n"/>
      <c r="B398" s="9" t="n"/>
      <c r="C398" s="9" t="n"/>
      <c r="D398" s="9" t="n"/>
      <c r="E398" s="9" t="n"/>
      <c r="F398" s="8">
        <f>IF(A398="","",IFERROR(INDEX(Testes!$N$2:$N$500,MATCH(A398,Testes!$A$2:$A$500,0)),""))</f>
        <v/>
      </c>
      <c r="G398" s="8">
        <f>IF(F398="ocorrência","VP",IF(F398="sem ocorrência","FP",""))</f>
        <v/>
      </c>
      <c r="H398" s="7" t="n"/>
      <c r="I398" s="8">
        <f>IF(H398&lt;&gt;"",H398,G398)</f>
        <v/>
      </c>
    </row>
    <row r="399">
      <c r="A399" s="9" t="n"/>
      <c r="B399" s="9" t="n"/>
      <c r="C399" s="9" t="n"/>
      <c r="D399" s="9" t="n"/>
      <c r="E399" s="9" t="n"/>
      <c r="F399" s="8">
        <f>IF(A399="","",IFERROR(INDEX(Testes!$N$2:$N$500,MATCH(A399,Testes!$A$2:$A$500,0)),""))</f>
        <v/>
      </c>
      <c r="G399" s="8">
        <f>IF(F399="ocorrência","VP",IF(F399="sem ocorrência","FP",""))</f>
        <v/>
      </c>
      <c r="H399" s="7" t="n"/>
      <c r="I399" s="8">
        <f>IF(H399&lt;&gt;"",H399,G399)</f>
        <v/>
      </c>
    </row>
    <row r="400">
      <c r="A400" s="9" t="n"/>
      <c r="B400" s="9" t="n"/>
      <c r="C400" s="9" t="n"/>
      <c r="D400" s="9" t="n"/>
      <c r="E400" s="9" t="n"/>
      <c r="F400" s="8">
        <f>IF(A400="","",IFERROR(INDEX(Testes!$N$2:$N$500,MATCH(A400,Testes!$A$2:$A$500,0)),""))</f>
        <v/>
      </c>
      <c r="G400" s="8">
        <f>IF(F400="ocorrência","VP",IF(F400="sem ocorrência","FP",""))</f>
        <v/>
      </c>
      <c r="H400" s="7" t="n"/>
      <c r="I400" s="8">
        <f>IF(H400&lt;&gt;"",H400,G400)</f>
        <v/>
      </c>
    </row>
    <row r="401">
      <c r="A401" s="9" t="n"/>
      <c r="B401" s="9" t="n"/>
      <c r="C401" s="9" t="n"/>
      <c r="D401" s="9" t="n"/>
      <c r="E401" s="9" t="n"/>
      <c r="F401" s="8">
        <f>IF(A401="","",IFERROR(INDEX(Testes!$N$2:$N$500,MATCH(A401,Testes!$A$2:$A$500,0)),""))</f>
        <v/>
      </c>
      <c r="G401" s="8">
        <f>IF(F401="ocorrência","VP",IF(F401="sem ocorrência","FP",""))</f>
        <v/>
      </c>
      <c r="H401" s="7" t="n"/>
      <c r="I401" s="8">
        <f>IF(H401&lt;&gt;"",H401,G401)</f>
        <v/>
      </c>
    </row>
    <row r="402">
      <c r="A402" s="9" t="n"/>
      <c r="B402" s="9" t="n"/>
      <c r="C402" s="9" t="n"/>
      <c r="D402" s="9" t="n"/>
      <c r="E402" s="9" t="n"/>
      <c r="F402" s="8">
        <f>IF(A402="","",IFERROR(INDEX(Testes!$N$2:$N$500,MATCH(A402,Testes!$A$2:$A$500,0)),""))</f>
        <v/>
      </c>
      <c r="G402" s="8">
        <f>IF(F402="ocorrência","VP",IF(F402="sem ocorrência","FP",""))</f>
        <v/>
      </c>
      <c r="H402" s="7" t="n"/>
      <c r="I402" s="8">
        <f>IF(H402&lt;&gt;"",H402,G402)</f>
        <v/>
      </c>
    </row>
    <row r="403">
      <c r="A403" s="9" t="n"/>
      <c r="B403" s="9" t="n"/>
      <c r="C403" s="9" t="n"/>
      <c r="D403" s="9" t="n"/>
      <c r="E403" s="9" t="n"/>
      <c r="F403" s="8">
        <f>IF(A403="","",IFERROR(INDEX(Testes!$N$2:$N$500,MATCH(A403,Testes!$A$2:$A$500,0)),""))</f>
        <v/>
      </c>
      <c r="G403" s="8">
        <f>IF(F403="ocorrência","VP",IF(F403="sem ocorrência","FP",""))</f>
        <v/>
      </c>
      <c r="H403" s="7" t="n"/>
      <c r="I403" s="8">
        <f>IF(H403&lt;&gt;"",H403,G403)</f>
        <v/>
      </c>
    </row>
    <row r="404">
      <c r="A404" s="9" t="n"/>
      <c r="B404" s="9" t="n"/>
      <c r="C404" s="9" t="n"/>
      <c r="D404" s="9" t="n"/>
      <c r="E404" s="9" t="n"/>
      <c r="F404" s="8">
        <f>IF(A404="","",IFERROR(INDEX(Testes!$N$2:$N$500,MATCH(A404,Testes!$A$2:$A$500,0)),""))</f>
        <v/>
      </c>
      <c r="G404" s="8">
        <f>IF(F404="ocorrência","VP",IF(F404="sem ocorrência","FP",""))</f>
        <v/>
      </c>
      <c r="H404" s="7" t="n"/>
      <c r="I404" s="8">
        <f>IF(H404&lt;&gt;"",H404,G404)</f>
        <v/>
      </c>
    </row>
    <row r="405">
      <c r="A405" s="9" t="n"/>
      <c r="B405" s="9" t="n"/>
      <c r="C405" s="9" t="n"/>
      <c r="D405" s="9" t="n"/>
      <c r="E405" s="9" t="n"/>
      <c r="F405" s="8">
        <f>IF(A405="","",IFERROR(INDEX(Testes!$N$2:$N$500,MATCH(A405,Testes!$A$2:$A$500,0)),""))</f>
        <v/>
      </c>
      <c r="G405" s="8">
        <f>IF(F405="ocorrência","VP",IF(F405="sem ocorrência","FP",""))</f>
        <v/>
      </c>
      <c r="H405" s="7" t="n"/>
      <c r="I405" s="8">
        <f>IF(H405&lt;&gt;"",H405,G405)</f>
        <v/>
      </c>
    </row>
    <row r="406">
      <c r="A406" s="9" t="n"/>
      <c r="B406" s="9" t="n"/>
      <c r="C406" s="9" t="n"/>
      <c r="D406" s="9" t="n"/>
      <c r="E406" s="9" t="n"/>
      <c r="F406" s="8">
        <f>IF(A406="","",IFERROR(INDEX(Testes!$N$2:$N$500,MATCH(A406,Testes!$A$2:$A$500,0)),""))</f>
        <v/>
      </c>
      <c r="G406" s="8">
        <f>IF(F406="ocorrência","VP",IF(F406="sem ocorrência","FP",""))</f>
        <v/>
      </c>
      <c r="H406" s="7" t="n"/>
      <c r="I406" s="8">
        <f>IF(H406&lt;&gt;"",H406,G406)</f>
        <v/>
      </c>
    </row>
    <row r="407">
      <c r="A407" s="9" t="n"/>
      <c r="B407" s="9" t="n"/>
      <c r="C407" s="9" t="n"/>
      <c r="D407" s="9" t="n"/>
      <c r="E407" s="9" t="n"/>
      <c r="F407" s="8">
        <f>IF(A407="","",IFERROR(INDEX(Testes!$N$2:$N$500,MATCH(A407,Testes!$A$2:$A$500,0)),""))</f>
        <v/>
      </c>
      <c r="G407" s="8">
        <f>IF(F407="ocorrência","VP",IF(F407="sem ocorrência","FP",""))</f>
        <v/>
      </c>
      <c r="H407" s="7" t="n"/>
      <c r="I407" s="8">
        <f>IF(H407&lt;&gt;"",H407,G407)</f>
        <v/>
      </c>
    </row>
    <row r="408">
      <c r="A408" s="9" t="n"/>
      <c r="B408" s="9" t="n"/>
      <c r="C408" s="9" t="n"/>
      <c r="D408" s="9" t="n"/>
      <c r="E408" s="9" t="n"/>
      <c r="F408" s="8">
        <f>IF(A408="","",IFERROR(INDEX(Testes!$N$2:$N$500,MATCH(A408,Testes!$A$2:$A$500,0)),""))</f>
        <v/>
      </c>
      <c r="G408" s="8">
        <f>IF(F408="ocorrência","VP",IF(F408="sem ocorrência","FP",""))</f>
        <v/>
      </c>
      <c r="H408" s="7" t="n"/>
      <c r="I408" s="8">
        <f>IF(H408&lt;&gt;"",H408,G408)</f>
        <v/>
      </c>
    </row>
    <row r="409">
      <c r="A409" s="9" t="n"/>
      <c r="B409" s="9" t="n"/>
      <c r="C409" s="9" t="n"/>
      <c r="D409" s="9" t="n"/>
      <c r="E409" s="9" t="n"/>
      <c r="F409" s="8">
        <f>IF(A409="","",IFERROR(INDEX(Testes!$N$2:$N$500,MATCH(A409,Testes!$A$2:$A$500,0)),""))</f>
        <v/>
      </c>
      <c r="G409" s="8">
        <f>IF(F409="ocorrência","VP",IF(F409="sem ocorrência","FP",""))</f>
        <v/>
      </c>
      <c r="H409" s="7" t="n"/>
      <c r="I409" s="8">
        <f>IF(H409&lt;&gt;"",H409,G409)</f>
        <v/>
      </c>
    </row>
    <row r="410">
      <c r="A410" s="9" t="n"/>
      <c r="B410" s="9" t="n"/>
      <c r="C410" s="9" t="n"/>
      <c r="D410" s="9" t="n"/>
      <c r="E410" s="9" t="n"/>
      <c r="F410" s="8">
        <f>IF(A410="","",IFERROR(INDEX(Testes!$N$2:$N$500,MATCH(A410,Testes!$A$2:$A$500,0)),""))</f>
        <v/>
      </c>
      <c r="G410" s="8">
        <f>IF(F410="ocorrência","VP",IF(F410="sem ocorrência","FP",""))</f>
        <v/>
      </c>
      <c r="H410" s="7" t="n"/>
      <c r="I410" s="8">
        <f>IF(H410&lt;&gt;"",H410,G410)</f>
        <v/>
      </c>
    </row>
    <row r="411">
      <c r="A411" s="9" t="n"/>
      <c r="B411" s="9" t="n"/>
      <c r="C411" s="9" t="n"/>
      <c r="D411" s="9" t="n"/>
      <c r="E411" s="9" t="n"/>
      <c r="F411" s="8">
        <f>IF(A411="","",IFERROR(INDEX(Testes!$N$2:$N$500,MATCH(A411,Testes!$A$2:$A$500,0)),""))</f>
        <v/>
      </c>
      <c r="G411" s="8">
        <f>IF(F411="ocorrência","VP",IF(F411="sem ocorrência","FP",""))</f>
        <v/>
      </c>
      <c r="H411" s="7" t="n"/>
      <c r="I411" s="8">
        <f>IF(H411&lt;&gt;"",H411,G411)</f>
        <v/>
      </c>
    </row>
    <row r="412">
      <c r="A412" s="9" t="n"/>
      <c r="B412" s="9" t="n"/>
      <c r="C412" s="9" t="n"/>
      <c r="D412" s="9" t="n"/>
      <c r="E412" s="9" t="n"/>
      <c r="F412" s="8">
        <f>IF(A412="","",IFERROR(INDEX(Testes!$N$2:$N$500,MATCH(A412,Testes!$A$2:$A$500,0)),""))</f>
        <v/>
      </c>
      <c r="G412" s="8">
        <f>IF(F412="ocorrência","VP",IF(F412="sem ocorrência","FP",""))</f>
        <v/>
      </c>
      <c r="H412" s="7" t="n"/>
      <c r="I412" s="8">
        <f>IF(H412&lt;&gt;"",H412,G412)</f>
        <v/>
      </c>
    </row>
    <row r="413">
      <c r="A413" s="9" t="n"/>
      <c r="B413" s="9" t="n"/>
      <c r="C413" s="9" t="n"/>
      <c r="D413" s="9" t="n"/>
      <c r="E413" s="9" t="n"/>
      <c r="F413" s="8">
        <f>IF(A413="","",IFERROR(INDEX(Testes!$N$2:$N$500,MATCH(A413,Testes!$A$2:$A$500,0)),""))</f>
        <v/>
      </c>
      <c r="G413" s="8">
        <f>IF(F413="ocorrência","VP",IF(F413="sem ocorrência","FP",""))</f>
        <v/>
      </c>
      <c r="H413" s="7" t="n"/>
      <c r="I413" s="8">
        <f>IF(H413&lt;&gt;"",H413,G413)</f>
        <v/>
      </c>
    </row>
    <row r="414">
      <c r="A414" s="9" t="n"/>
      <c r="B414" s="9" t="n"/>
      <c r="C414" s="9" t="n"/>
      <c r="D414" s="9" t="n"/>
      <c r="E414" s="9" t="n"/>
      <c r="F414" s="8">
        <f>IF(A414="","",IFERROR(INDEX(Testes!$N$2:$N$500,MATCH(A414,Testes!$A$2:$A$500,0)),""))</f>
        <v/>
      </c>
      <c r="G414" s="8">
        <f>IF(F414="ocorrência","VP",IF(F414="sem ocorrência","FP",""))</f>
        <v/>
      </c>
      <c r="H414" s="7" t="n"/>
      <c r="I414" s="8">
        <f>IF(H414&lt;&gt;"",H414,G414)</f>
        <v/>
      </c>
    </row>
    <row r="415">
      <c r="A415" s="9" t="n"/>
      <c r="B415" s="9" t="n"/>
      <c r="C415" s="9" t="n"/>
      <c r="D415" s="9" t="n"/>
      <c r="E415" s="9" t="n"/>
      <c r="F415" s="8">
        <f>IF(A415="","",IFERROR(INDEX(Testes!$N$2:$N$500,MATCH(A415,Testes!$A$2:$A$500,0)),""))</f>
        <v/>
      </c>
      <c r="G415" s="8">
        <f>IF(F415="ocorrência","VP",IF(F415="sem ocorrência","FP",""))</f>
        <v/>
      </c>
      <c r="H415" s="7" t="n"/>
      <c r="I415" s="8">
        <f>IF(H415&lt;&gt;"",H415,G415)</f>
        <v/>
      </c>
    </row>
    <row r="416">
      <c r="A416" s="9" t="n"/>
      <c r="B416" s="9" t="n"/>
      <c r="C416" s="9" t="n"/>
      <c r="D416" s="9" t="n"/>
      <c r="E416" s="9" t="n"/>
      <c r="F416" s="8">
        <f>IF(A416="","",IFERROR(INDEX(Testes!$N$2:$N$500,MATCH(A416,Testes!$A$2:$A$500,0)),""))</f>
        <v/>
      </c>
      <c r="G416" s="8">
        <f>IF(F416="ocorrência","VP",IF(F416="sem ocorrência","FP",""))</f>
        <v/>
      </c>
      <c r="H416" s="7" t="n"/>
      <c r="I416" s="8">
        <f>IF(H416&lt;&gt;"",H416,G416)</f>
        <v/>
      </c>
    </row>
    <row r="417">
      <c r="A417" s="9" t="n"/>
      <c r="B417" s="9" t="n"/>
      <c r="C417" s="9" t="n"/>
      <c r="D417" s="9" t="n"/>
      <c r="E417" s="9" t="n"/>
      <c r="F417" s="8">
        <f>IF(A417="","",IFERROR(INDEX(Testes!$N$2:$N$500,MATCH(A417,Testes!$A$2:$A$500,0)),""))</f>
        <v/>
      </c>
      <c r="G417" s="8">
        <f>IF(F417="ocorrência","VP",IF(F417="sem ocorrência","FP",""))</f>
        <v/>
      </c>
      <c r="H417" s="7" t="n"/>
      <c r="I417" s="8">
        <f>IF(H417&lt;&gt;"",H417,G417)</f>
        <v/>
      </c>
    </row>
    <row r="418">
      <c r="A418" s="9" t="n"/>
      <c r="B418" s="9" t="n"/>
      <c r="C418" s="9" t="n"/>
      <c r="D418" s="9" t="n"/>
      <c r="E418" s="9" t="n"/>
      <c r="F418" s="8">
        <f>IF(A418="","",IFERROR(INDEX(Testes!$N$2:$N$500,MATCH(A418,Testes!$A$2:$A$500,0)),""))</f>
        <v/>
      </c>
      <c r="G418" s="8">
        <f>IF(F418="ocorrência","VP",IF(F418="sem ocorrência","FP",""))</f>
        <v/>
      </c>
      <c r="H418" s="7" t="n"/>
      <c r="I418" s="8">
        <f>IF(H418&lt;&gt;"",H418,G418)</f>
        <v/>
      </c>
    </row>
    <row r="419">
      <c r="A419" s="9" t="n"/>
      <c r="B419" s="9" t="n"/>
      <c r="C419" s="9" t="n"/>
      <c r="D419" s="9" t="n"/>
      <c r="E419" s="9" t="n"/>
      <c r="F419" s="8">
        <f>IF(A419="","",IFERROR(INDEX(Testes!$N$2:$N$500,MATCH(A419,Testes!$A$2:$A$500,0)),""))</f>
        <v/>
      </c>
      <c r="G419" s="8">
        <f>IF(F419="ocorrência","VP",IF(F419="sem ocorrência","FP",""))</f>
        <v/>
      </c>
      <c r="H419" s="7" t="n"/>
      <c r="I419" s="8">
        <f>IF(H419&lt;&gt;"",H419,G419)</f>
        <v/>
      </c>
    </row>
    <row r="420">
      <c r="A420" s="9" t="n"/>
      <c r="B420" s="9" t="n"/>
      <c r="C420" s="9" t="n"/>
      <c r="D420" s="9" t="n"/>
      <c r="E420" s="9" t="n"/>
      <c r="F420" s="8">
        <f>IF(A420="","",IFERROR(INDEX(Testes!$N$2:$N$500,MATCH(A420,Testes!$A$2:$A$500,0)),""))</f>
        <v/>
      </c>
      <c r="G420" s="8">
        <f>IF(F420="ocorrência","VP",IF(F420="sem ocorrência","FP",""))</f>
        <v/>
      </c>
      <c r="H420" s="7" t="n"/>
      <c r="I420" s="8">
        <f>IF(H420&lt;&gt;"",H420,G420)</f>
        <v/>
      </c>
    </row>
    <row r="421">
      <c r="A421" s="9" t="n"/>
      <c r="B421" s="9" t="n"/>
      <c r="C421" s="9" t="n"/>
      <c r="D421" s="9" t="n"/>
      <c r="E421" s="9" t="n"/>
      <c r="F421" s="8">
        <f>IF(A421="","",IFERROR(INDEX(Testes!$N$2:$N$500,MATCH(A421,Testes!$A$2:$A$500,0)),""))</f>
        <v/>
      </c>
      <c r="G421" s="8">
        <f>IF(F421="ocorrência","VP",IF(F421="sem ocorrência","FP",""))</f>
        <v/>
      </c>
      <c r="H421" s="7" t="n"/>
      <c r="I421" s="8">
        <f>IF(H421&lt;&gt;"",H421,G421)</f>
        <v/>
      </c>
    </row>
    <row r="422">
      <c r="A422" s="9" t="n"/>
      <c r="B422" s="9" t="n"/>
      <c r="C422" s="9" t="n"/>
      <c r="D422" s="9" t="n"/>
      <c r="E422" s="9" t="n"/>
      <c r="F422" s="8">
        <f>IF(A422="","",IFERROR(INDEX(Testes!$N$2:$N$500,MATCH(A422,Testes!$A$2:$A$500,0)),""))</f>
        <v/>
      </c>
      <c r="G422" s="8">
        <f>IF(F422="ocorrência","VP",IF(F422="sem ocorrência","FP",""))</f>
        <v/>
      </c>
      <c r="H422" s="7" t="n"/>
      <c r="I422" s="8">
        <f>IF(H422&lt;&gt;"",H422,G422)</f>
        <v/>
      </c>
    </row>
    <row r="423">
      <c r="A423" s="9" t="n"/>
      <c r="B423" s="9" t="n"/>
      <c r="C423" s="9" t="n"/>
      <c r="D423" s="9" t="n"/>
      <c r="E423" s="9" t="n"/>
      <c r="F423" s="8">
        <f>IF(A423="","",IFERROR(INDEX(Testes!$N$2:$N$500,MATCH(A423,Testes!$A$2:$A$500,0)),""))</f>
        <v/>
      </c>
      <c r="G423" s="8">
        <f>IF(F423="ocorrência","VP",IF(F423="sem ocorrência","FP",""))</f>
        <v/>
      </c>
      <c r="H423" s="7" t="n"/>
      <c r="I423" s="8">
        <f>IF(H423&lt;&gt;"",H423,G423)</f>
        <v/>
      </c>
    </row>
    <row r="424">
      <c r="A424" s="9" t="n"/>
      <c r="B424" s="9" t="n"/>
      <c r="C424" s="9" t="n"/>
      <c r="D424" s="9" t="n"/>
      <c r="E424" s="9" t="n"/>
      <c r="F424" s="8">
        <f>IF(A424="","",IFERROR(INDEX(Testes!$N$2:$N$500,MATCH(A424,Testes!$A$2:$A$500,0)),""))</f>
        <v/>
      </c>
      <c r="G424" s="8">
        <f>IF(F424="ocorrência","VP",IF(F424="sem ocorrência","FP",""))</f>
        <v/>
      </c>
      <c r="H424" s="7" t="n"/>
      <c r="I424" s="8">
        <f>IF(H424&lt;&gt;"",H424,G424)</f>
        <v/>
      </c>
    </row>
    <row r="425">
      <c r="A425" s="9" t="n"/>
      <c r="B425" s="9" t="n"/>
      <c r="C425" s="9" t="n"/>
      <c r="D425" s="9" t="n"/>
      <c r="E425" s="9" t="n"/>
      <c r="F425" s="8">
        <f>IF(A425="","",IFERROR(INDEX(Testes!$N$2:$N$500,MATCH(A425,Testes!$A$2:$A$500,0)),""))</f>
        <v/>
      </c>
      <c r="G425" s="8">
        <f>IF(F425="ocorrência","VP",IF(F425="sem ocorrência","FP",""))</f>
        <v/>
      </c>
      <c r="H425" s="7" t="n"/>
      <c r="I425" s="8">
        <f>IF(H425&lt;&gt;"",H425,G425)</f>
        <v/>
      </c>
    </row>
    <row r="426">
      <c r="A426" s="9" t="n"/>
      <c r="B426" s="9" t="n"/>
      <c r="C426" s="9" t="n"/>
      <c r="D426" s="9" t="n"/>
      <c r="E426" s="9" t="n"/>
      <c r="F426" s="8">
        <f>IF(A426="","",IFERROR(INDEX(Testes!$N$2:$N$500,MATCH(A426,Testes!$A$2:$A$500,0)),""))</f>
        <v/>
      </c>
      <c r="G426" s="8">
        <f>IF(F426="ocorrência","VP",IF(F426="sem ocorrência","FP",""))</f>
        <v/>
      </c>
      <c r="H426" s="7" t="n"/>
      <c r="I426" s="8">
        <f>IF(H426&lt;&gt;"",H426,G426)</f>
        <v/>
      </c>
    </row>
    <row r="427">
      <c r="A427" s="9" t="n"/>
      <c r="B427" s="9" t="n"/>
      <c r="C427" s="9" t="n"/>
      <c r="D427" s="9" t="n"/>
      <c r="E427" s="9" t="n"/>
      <c r="F427" s="8">
        <f>IF(A427="","",IFERROR(INDEX(Testes!$N$2:$N$500,MATCH(A427,Testes!$A$2:$A$500,0)),""))</f>
        <v/>
      </c>
      <c r="G427" s="8">
        <f>IF(F427="ocorrência","VP",IF(F427="sem ocorrência","FP",""))</f>
        <v/>
      </c>
      <c r="H427" s="7" t="n"/>
      <c r="I427" s="8">
        <f>IF(H427&lt;&gt;"",H427,G427)</f>
        <v/>
      </c>
    </row>
    <row r="428">
      <c r="A428" s="9" t="n"/>
      <c r="B428" s="9" t="n"/>
      <c r="C428" s="9" t="n"/>
      <c r="D428" s="9" t="n"/>
      <c r="E428" s="9" t="n"/>
      <c r="F428" s="8">
        <f>IF(A428="","",IFERROR(INDEX(Testes!$N$2:$N$500,MATCH(A428,Testes!$A$2:$A$500,0)),""))</f>
        <v/>
      </c>
      <c r="G428" s="8">
        <f>IF(F428="ocorrência","VP",IF(F428="sem ocorrência","FP",""))</f>
        <v/>
      </c>
      <c r="H428" s="7" t="n"/>
      <c r="I428" s="8">
        <f>IF(H428&lt;&gt;"",H428,G428)</f>
        <v/>
      </c>
    </row>
    <row r="429">
      <c r="A429" s="9" t="n"/>
      <c r="B429" s="9" t="n"/>
      <c r="C429" s="9" t="n"/>
      <c r="D429" s="9" t="n"/>
      <c r="E429" s="9" t="n"/>
      <c r="F429" s="8">
        <f>IF(A429="","",IFERROR(INDEX(Testes!$N$2:$N$500,MATCH(A429,Testes!$A$2:$A$500,0)),""))</f>
        <v/>
      </c>
      <c r="G429" s="8">
        <f>IF(F429="ocorrência","VP",IF(F429="sem ocorrência","FP",""))</f>
        <v/>
      </c>
      <c r="H429" s="7" t="n"/>
      <c r="I429" s="8">
        <f>IF(H429&lt;&gt;"",H429,G429)</f>
        <v/>
      </c>
    </row>
    <row r="430">
      <c r="A430" s="9" t="n"/>
      <c r="B430" s="9" t="n"/>
      <c r="C430" s="9" t="n"/>
      <c r="D430" s="9" t="n"/>
      <c r="E430" s="9" t="n"/>
      <c r="F430" s="8">
        <f>IF(A430="","",IFERROR(INDEX(Testes!$N$2:$N$500,MATCH(A430,Testes!$A$2:$A$500,0)),""))</f>
        <v/>
      </c>
      <c r="G430" s="8">
        <f>IF(F430="ocorrência","VP",IF(F430="sem ocorrência","FP",""))</f>
        <v/>
      </c>
      <c r="H430" s="7" t="n"/>
      <c r="I430" s="8">
        <f>IF(H430&lt;&gt;"",H430,G430)</f>
        <v/>
      </c>
    </row>
    <row r="431">
      <c r="A431" s="9" t="n"/>
      <c r="B431" s="9" t="n"/>
      <c r="C431" s="9" t="n"/>
      <c r="D431" s="9" t="n"/>
      <c r="E431" s="9" t="n"/>
      <c r="F431" s="8">
        <f>IF(A431="","",IFERROR(INDEX(Testes!$N$2:$N$500,MATCH(A431,Testes!$A$2:$A$500,0)),""))</f>
        <v/>
      </c>
      <c r="G431" s="8">
        <f>IF(F431="ocorrência","VP",IF(F431="sem ocorrência","FP",""))</f>
        <v/>
      </c>
      <c r="H431" s="7" t="n"/>
      <c r="I431" s="8">
        <f>IF(H431&lt;&gt;"",H431,G431)</f>
        <v/>
      </c>
    </row>
    <row r="432">
      <c r="A432" s="9" t="n"/>
      <c r="B432" s="9" t="n"/>
      <c r="C432" s="9" t="n"/>
      <c r="D432" s="9" t="n"/>
      <c r="E432" s="9" t="n"/>
      <c r="F432" s="8">
        <f>IF(A432="","",IFERROR(INDEX(Testes!$N$2:$N$500,MATCH(A432,Testes!$A$2:$A$500,0)),""))</f>
        <v/>
      </c>
      <c r="G432" s="8">
        <f>IF(F432="ocorrência","VP",IF(F432="sem ocorrência","FP",""))</f>
        <v/>
      </c>
      <c r="H432" s="7" t="n"/>
      <c r="I432" s="8">
        <f>IF(H432&lt;&gt;"",H432,G432)</f>
        <v/>
      </c>
    </row>
    <row r="433">
      <c r="A433" s="9" t="n"/>
      <c r="B433" s="9" t="n"/>
      <c r="C433" s="9" t="n"/>
      <c r="D433" s="9" t="n"/>
      <c r="E433" s="9" t="n"/>
      <c r="F433" s="8">
        <f>IF(A433="","",IFERROR(INDEX(Testes!$N$2:$N$500,MATCH(A433,Testes!$A$2:$A$500,0)),""))</f>
        <v/>
      </c>
      <c r="G433" s="8">
        <f>IF(F433="ocorrência","VP",IF(F433="sem ocorrência","FP",""))</f>
        <v/>
      </c>
      <c r="H433" s="7" t="n"/>
      <c r="I433" s="8">
        <f>IF(H433&lt;&gt;"",H433,G433)</f>
        <v/>
      </c>
    </row>
    <row r="434">
      <c r="A434" s="9" t="n"/>
      <c r="B434" s="9" t="n"/>
      <c r="C434" s="9" t="n"/>
      <c r="D434" s="9" t="n"/>
      <c r="E434" s="9" t="n"/>
      <c r="F434" s="8">
        <f>IF(A434="","",IFERROR(INDEX(Testes!$N$2:$N$500,MATCH(A434,Testes!$A$2:$A$500,0)),""))</f>
        <v/>
      </c>
      <c r="G434" s="8">
        <f>IF(F434="ocorrência","VP",IF(F434="sem ocorrência","FP",""))</f>
        <v/>
      </c>
      <c r="H434" s="7" t="n"/>
      <c r="I434" s="8">
        <f>IF(H434&lt;&gt;"",H434,G434)</f>
        <v/>
      </c>
    </row>
    <row r="435">
      <c r="A435" s="9" t="n"/>
      <c r="B435" s="9" t="n"/>
      <c r="C435" s="9" t="n"/>
      <c r="D435" s="9" t="n"/>
      <c r="E435" s="9" t="n"/>
      <c r="F435" s="8">
        <f>IF(A435="","",IFERROR(INDEX(Testes!$N$2:$N$500,MATCH(A435,Testes!$A$2:$A$500,0)),""))</f>
        <v/>
      </c>
      <c r="G435" s="8">
        <f>IF(F435="ocorrência","VP",IF(F435="sem ocorrência","FP",""))</f>
        <v/>
      </c>
      <c r="H435" s="7" t="n"/>
      <c r="I435" s="8">
        <f>IF(H435&lt;&gt;"",H435,G435)</f>
        <v/>
      </c>
    </row>
    <row r="436">
      <c r="A436" s="9" t="n"/>
      <c r="B436" s="9" t="n"/>
      <c r="C436" s="9" t="n"/>
      <c r="D436" s="9" t="n"/>
      <c r="E436" s="9" t="n"/>
      <c r="F436" s="8">
        <f>IF(A436="","",IFERROR(INDEX(Testes!$N$2:$N$500,MATCH(A436,Testes!$A$2:$A$500,0)),""))</f>
        <v/>
      </c>
      <c r="G436" s="8">
        <f>IF(F436="ocorrência","VP",IF(F436="sem ocorrência","FP",""))</f>
        <v/>
      </c>
      <c r="H436" s="7" t="n"/>
      <c r="I436" s="8">
        <f>IF(H436&lt;&gt;"",H436,G436)</f>
        <v/>
      </c>
    </row>
    <row r="437">
      <c r="A437" s="9" t="n"/>
      <c r="B437" s="9" t="n"/>
      <c r="C437" s="9" t="n"/>
      <c r="D437" s="9" t="n"/>
      <c r="E437" s="9" t="n"/>
      <c r="F437" s="8">
        <f>IF(A437="","",IFERROR(INDEX(Testes!$N$2:$N$500,MATCH(A437,Testes!$A$2:$A$500,0)),""))</f>
        <v/>
      </c>
      <c r="G437" s="8">
        <f>IF(F437="ocorrência","VP",IF(F437="sem ocorrência","FP",""))</f>
        <v/>
      </c>
      <c r="H437" s="7" t="n"/>
      <c r="I437" s="8">
        <f>IF(H437&lt;&gt;"",H437,G437)</f>
        <v/>
      </c>
    </row>
    <row r="438">
      <c r="A438" s="9" t="n"/>
      <c r="B438" s="9" t="n"/>
      <c r="C438" s="9" t="n"/>
      <c r="D438" s="9" t="n"/>
      <c r="E438" s="9" t="n"/>
      <c r="F438" s="8">
        <f>IF(A438="","",IFERROR(INDEX(Testes!$N$2:$N$500,MATCH(A438,Testes!$A$2:$A$500,0)),""))</f>
        <v/>
      </c>
      <c r="G438" s="8">
        <f>IF(F438="ocorrência","VP",IF(F438="sem ocorrência","FP",""))</f>
        <v/>
      </c>
      <c r="H438" s="7" t="n"/>
      <c r="I438" s="8">
        <f>IF(H438&lt;&gt;"",H438,G438)</f>
        <v/>
      </c>
    </row>
    <row r="439">
      <c r="A439" s="9" t="n"/>
      <c r="B439" s="9" t="n"/>
      <c r="C439" s="9" t="n"/>
      <c r="D439" s="9" t="n"/>
      <c r="E439" s="9" t="n"/>
      <c r="F439" s="8">
        <f>IF(A439="","",IFERROR(INDEX(Testes!$N$2:$N$500,MATCH(A439,Testes!$A$2:$A$500,0)),""))</f>
        <v/>
      </c>
      <c r="G439" s="8">
        <f>IF(F439="ocorrência","VP",IF(F439="sem ocorrência","FP",""))</f>
        <v/>
      </c>
      <c r="H439" s="7" t="n"/>
      <c r="I439" s="8">
        <f>IF(H439&lt;&gt;"",H439,G439)</f>
        <v/>
      </c>
    </row>
    <row r="440">
      <c r="A440" s="9" t="n"/>
      <c r="B440" s="9" t="n"/>
      <c r="C440" s="9" t="n"/>
      <c r="D440" s="9" t="n"/>
      <c r="E440" s="9" t="n"/>
      <c r="F440" s="8">
        <f>IF(A440="","",IFERROR(INDEX(Testes!$N$2:$N$500,MATCH(A440,Testes!$A$2:$A$500,0)),""))</f>
        <v/>
      </c>
      <c r="G440" s="8">
        <f>IF(F440="ocorrência","VP",IF(F440="sem ocorrência","FP",""))</f>
        <v/>
      </c>
      <c r="H440" s="7" t="n"/>
      <c r="I440" s="8">
        <f>IF(H440&lt;&gt;"",H440,G440)</f>
        <v/>
      </c>
    </row>
    <row r="441">
      <c r="A441" s="9" t="n"/>
      <c r="B441" s="9" t="n"/>
      <c r="C441" s="9" t="n"/>
      <c r="D441" s="9" t="n"/>
      <c r="E441" s="9" t="n"/>
      <c r="F441" s="8">
        <f>IF(A441="","",IFERROR(INDEX(Testes!$N$2:$N$500,MATCH(A441,Testes!$A$2:$A$500,0)),""))</f>
        <v/>
      </c>
      <c r="G441" s="8">
        <f>IF(F441="ocorrência","VP",IF(F441="sem ocorrência","FP",""))</f>
        <v/>
      </c>
      <c r="H441" s="7" t="n"/>
      <c r="I441" s="8">
        <f>IF(H441&lt;&gt;"",H441,G441)</f>
        <v/>
      </c>
    </row>
    <row r="442">
      <c r="A442" s="9" t="n"/>
      <c r="B442" s="9" t="n"/>
      <c r="C442" s="9" t="n"/>
      <c r="D442" s="9" t="n"/>
      <c r="E442" s="9" t="n"/>
      <c r="F442" s="8">
        <f>IF(A442="","",IFERROR(INDEX(Testes!$N$2:$N$500,MATCH(A442,Testes!$A$2:$A$500,0)),""))</f>
        <v/>
      </c>
      <c r="G442" s="8">
        <f>IF(F442="ocorrência","VP",IF(F442="sem ocorrência","FP",""))</f>
        <v/>
      </c>
      <c r="H442" s="7" t="n"/>
      <c r="I442" s="8">
        <f>IF(H442&lt;&gt;"",H442,G442)</f>
        <v/>
      </c>
    </row>
    <row r="443">
      <c r="A443" s="9" t="n"/>
      <c r="B443" s="9" t="n"/>
      <c r="C443" s="9" t="n"/>
      <c r="D443" s="9" t="n"/>
      <c r="E443" s="9" t="n"/>
      <c r="F443" s="8">
        <f>IF(A443="","",IFERROR(INDEX(Testes!$N$2:$N$500,MATCH(A443,Testes!$A$2:$A$500,0)),""))</f>
        <v/>
      </c>
      <c r="G443" s="8">
        <f>IF(F443="ocorrência","VP",IF(F443="sem ocorrência","FP",""))</f>
        <v/>
      </c>
      <c r="H443" s="7" t="n"/>
      <c r="I443" s="8">
        <f>IF(H443&lt;&gt;"",H443,G443)</f>
        <v/>
      </c>
    </row>
    <row r="444">
      <c r="A444" s="9" t="n"/>
      <c r="B444" s="9" t="n"/>
      <c r="C444" s="9" t="n"/>
      <c r="D444" s="9" t="n"/>
      <c r="E444" s="9" t="n"/>
      <c r="F444" s="8">
        <f>IF(A444="","",IFERROR(INDEX(Testes!$N$2:$N$500,MATCH(A444,Testes!$A$2:$A$500,0)),""))</f>
        <v/>
      </c>
      <c r="G444" s="8">
        <f>IF(F444="ocorrência","VP",IF(F444="sem ocorrência","FP",""))</f>
        <v/>
      </c>
      <c r="H444" s="7" t="n"/>
      <c r="I444" s="8">
        <f>IF(H444&lt;&gt;"",H444,G444)</f>
        <v/>
      </c>
    </row>
    <row r="445">
      <c r="A445" s="9" t="n"/>
      <c r="B445" s="9" t="n"/>
      <c r="C445" s="9" t="n"/>
      <c r="D445" s="9" t="n"/>
      <c r="E445" s="9" t="n"/>
      <c r="F445" s="8">
        <f>IF(A445="","",IFERROR(INDEX(Testes!$N$2:$N$500,MATCH(A445,Testes!$A$2:$A$500,0)),""))</f>
        <v/>
      </c>
      <c r="G445" s="8">
        <f>IF(F445="ocorrência","VP",IF(F445="sem ocorrência","FP",""))</f>
        <v/>
      </c>
      <c r="H445" s="7" t="n"/>
      <c r="I445" s="8">
        <f>IF(H445&lt;&gt;"",H445,G445)</f>
        <v/>
      </c>
    </row>
    <row r="446">
      <c r="A446" s="9" t="n"/>
      <c r="B446" s="9" t="n"/>
      <c r="C446" s="9" t="n"/>
      <c r="D446" s="9" t="n"/>
      <c r="E446" s="9" t="n"/>
      <c r="F446" s="8">
        <f>IF(A446="","",IFERROR(INDEX(Testes!$N$2:$N$500,MATCH(A446,Testes!$A$2:$A$500,0)),""))</f>
        <v/>
      </c>
      <c r="G446" s="8">
        <f>IF(F446="ocorrência","VP",IF(F446="sem ocorrência","FP",""))</f>
        <v/>
      </c>
      <c r="H446" s="7" t="n"/>
      <c r="I446" s="8">
        <f>IF(H446&lt;&gt;"",H446,G446)</f>
        <v/>
      </c>
    </row>
    <row r="447">
      <c r="A447" s="9" t="n"/>
      <c r="B447" s="9" t="n"/>
      <c r="C447" s="9" t="n"/>
      <c r="D447" s="9" t="n"/>
      <c r="E447" s="9" t="n"/>
      <c r="F447" s="8">
        <f>IF(A447="","",IFERROR(INDEX(Testes!$N$2:$N$500,MATCH(A447,Testes!$A$2:$A$500,0)),""))</f>
        <v/>
      </c>
      <c r="G447" s="8">
        <f>IF(F447="ocorrência","VP",IF(F447="sem ocorrência","FP",""))</f>
        <v/>
      </c>
      <c r="H447" s="7" t="n"/>
      <c r="I447" s="8">
        <f>IF(H447&lt;&gt;"",H447,G447)</f>
        <v/>
      </c>
    </row>
    <row r="448">
      <c r="A448" s="9" t="n"/>
      <c r="B448" s="9" t="n"/>
      <c r="C448" s="9" t="n"/>
      <c r="D448" s="9" t="n"/>
      <c r="E448" s="9" t="n"/>
      <c r="F448" s="8">
        <f>IF(A448="","",IFERROR(INDEX(Testes!$N$2:$N$500,MATCH(A448,Testes!$A$2:$A$500,0)),""))</f>
        <v/>
      </c>
      <c r="G448" s="8">
        <f>IF(F448="ocorrência","VP",IF(F448="sem ocorrência","FP",""))</f>
        <v/>
      </c>
      <c r="H448" s="7" t="n"/>
      <c r="I448" s="8">
        <f>IF(H448&lt;&gt;"",H448,G448)</f>
        <v/>
      </c>
    </row>
    <row r="449">
      <c r="A449" s="9" t="n"/>
      <c r="B449" s="9" t="n"/>
      <c r="C449" s="9" t="n"/>
      <c r="D449" s="9" t="n"/>
      <c r="E449" s="9" t="n"/>
      <c r="F449" s="8">
        <f>IF(A449="","",IFERROR(INDEX(Testes!$N$2:$N$500,MATCH(A449,Testes!$A$2:$A$500,0)),""))</f>
        <v/>
      </c>
      <c r="G449" s="8">
        <f>IF(F449="ocorrência","VP",IF(F449="sem ocorrência","FP",""))</f>
        <v/>
      </c>
      <c r="H449" s="7" t="n"/>
      <c r="I449" s="8">
        <f>IF(H449&lt;&gt;"",H449,G449)</f>
        <v/>
      </c>
    </row>
    <row r="450">
      <c r="A450" s="9" t="n"/>
      <c r="B450" s="9" t="n"/>
      <c r="C450" s="9" t="n"/>
      <c r="D450" s="9" t="n"/>
      <c r="E450" s="9" t="n"/>
      <c r="F450" s="8">
        <f>IF(A450="","",IFERROR(INDEX(Testes!$N$2:$N$500,MATCH(A450,Testes!$A$2:$A$500,0)),""))</f>
        <v/>
      </c>
      <c r="G450" s="8">
        <f>IF(F450="ocorrência","VP",IF(F450="sem ocorrência","FP",""))</f>
        <v/>
      </c>
      <c r="H450" s="7" t="n"/>
      <c r="I450" s="8">
        <f>IF(H450&lt;&gt;"",H450,G450)</f>
        <v/>
      </c>
    </row>
    <row r="451">
      <c r="A451" s="9" t="n"/>
      <c r="B451" s="9" t="n"/>
      <c r="C451" s="9" t="n"/>
      <c r="D451" s="9" t="n"/>
      <c r="E451" s="9" t="n"/>
      <c r="F451" s="8">
        <f>IF(A451="","",IFERROR(INDEX(Testes!$N$2:$N$500,MATCH(A451,Testes!$A$2:$A$500,0)),""))</f>
        <v/>
      </c>
      <c r="G451" s="8">
        <f>IF(F451="ocorrência","VP",IF(F451="sem ocorrência","FP",""))</f>
        <v/>
      </c>
      <c r="H451" s="7" t="n"/>
      <c r="I451" s="8">
        <f>IF(H451&lt;&gt;"",H451,G451)</f>
        <v/>
      </c>
    </row>
    <row r="452">
      <c r="A452" s="9" t="n"/>
      <c r="B452" s="9" t="n"/>
      <c r="C452" s="9" t="n"/>
      <c r="D452" s="9" t="n"/>
      <c r="E452" s="9" t="n"/>
      <c r="F452" s="8">
        <f>IF(A452="","",IFERROR(INDEX(Testes!$N$2:$N$500,MATCH(A452,Testes!$A$2:$A$500,0)),""))</f>
        <v/>
      </c>
      <c r="G452" s="8">
        <f>IF(F452="ocorrência","VP",IF(F452="sem ocorrência","FP",""))</f>
        <v/>
      </c>
      <c r="H452" s="7" t="n"/>
      <c r="I452" s="8">
        <f>IF(H452&lt;&gt;"",H452,G452)</f>
        <v/>
      </c>
    </row>
    <row r="453">
      <c r="A453" s="9" t="n"/>
      <c r="B453" s="9" t="n"/>
      <c r="C453" s="9" t="n"/>
      <c r="D453" s="9" t="n"/>
      <c r="E453" s="9" t="n"/>
      <c r="F453" s="8">
        <f>IF(A453="","",IFERROR(INDEX(Testes!$N$2:$N$500,MATCH(A453,Testes!$A$2:$A$500,0)),""))</f>
        <v/>
      </c>
      <c r="G453" s="8">
        <f>IF(F453="ocorrência","VP",IF(F453="sem ocorrência","FP",""))</f>
        <v/>
      </c>
      <c r="H453" s="7" t="n"/>
      <c r="I453" s="8">
        <f>IF(H453&lt;&gt;"",H453,G453)</f>
        <v/>
      </c>
    </row>
    <row r="454">
      <c r="A454" s="9" t="n"/>
      <c r="B454" s="9" t="n"/>
      <c r="C454" s="9" t="n"/>
      <c r="D454" s="9" t="n"/>
      <c r="E454" s="9" t="n"/>
      <c r="F454" s="8">
        <f>IF(A454="","",IFERROR(INDEX(Testes!$N$2:$N$500,MATCH(A454,Testes!$A$2:$A$500,0)),""))</f>
        <v/>
      </c>
      <c r="G454" s="8">
        <f>IF(F454="ocorrência","VP",IF(F454="sem ocorrência","FP",""))</f>
        <v/>
      </c>
      <c r="H454" s="7" t="n"/>
      <c r="I454" s="8">
        <f>IF(H454&lt;&gt;"",H454,G454)</f>
        <v/>
      </c>
    </row>
    <row r="455">
      <c r="A455" s="9" t="n"/>
      <c r="B455" s="9" t="n"/>
      <c r="C455" s="9" t="n"/>
      <c r="D455" s="9" t="n"/>
      <c r="E455" s="9" t="n"/>
      <c r="F455" s="8">
        <f>IF(A455="","",IFERROR(INDEX(Testes!$N$2:$N$500,MATCH(A455,Testes!$A$2:$A$500,0)),""))</f>
        <v/>
      </c>
      <c r="G455" s="8">
        <f>IF(F455="ocorrência","VP",IF(F455="sem ocorrência","FP",""))</f>
        <v/>
      </c>
      <c r="H455" s="7" t="n"/>
      <c r="I455" s="8">
        <f>IF(H455&lt;&gt;"",H455,G455)</f>
        <v/>
      </c>
    </row>
    <row r="456">
      <c r="A456" s="9" t="n"/>
      <c r="B456" s="9" t="n"/>
      <c r="C456" s="9" t="n"/>
      <c r="D456" s="9" t="n"/>
      <c r="E456" s="9" t="n"/>
      <c r="F456" s="8">
        <f>IF(A456="","",IFERROR(INDEX(Testes!$N$2:$N$500,MATCH(A456,Testes!$A$2:$A$500,0)),""))</f>
        <v/>
      </c>
      <c r="G456" s="8">
        <f>IF(F456="ocorrência","VP",IF(F456="sem ocorrência","FP",""))</f>
        <v/>
      </c>
      <c r="H456" s="7" t="n"/>
      <c r="I456" s="8">
        <f>IF(H456&lt;&gt;"",H456,G456)</f>
        <v/>
      </c>
    </row>
    <row r="457">
      <c r="A457" s="9" t="n"/>
      <c r="B457" s="9" t="n"/>
      <c r="C457" s="9" t="n"/>
      <c r="D457" s="9" t="n"/>
      <c r="E457" s="9" t="n"/>
      <c r="F457" s="8">
        <f>IF(A457="","",IFERROR(INDEX(Testes!$N$2:$N$500,MATCH(A457,Testes!$A$2:$A$500,0)),""))</f>
        <v/>
      </c>
      <c r="G457" s="8">
        <f>IF(F457="ocorrência","VP",IF(F457="sem ocorrência","FP",""))</f>
        <v/>
      </c>
      <c r="H457" s="7" t="n"/>
      <c r="I457" s="8">
        <f>IF(H457&lt;&gt;"",H457,G457)</f>
        <v/>
      </c>
    </row>
    <row r="458">
      <c r="A458" s="9" t="n"/>
      <c r="B458" s="9" t="n"/>
      <c r="C458" s="9" t="n"/>
      <c r="D458" s="9" t="n"/>
      <c r="E458" s="9" t="n"/>
      <c r="F458" s="8">
        <f>IF(A458="","",IFERROR(INDEX(Testes!$N$2:$N$500,MATCH(A458,Testes!$A$2:$A$500,0)),""))</f>
        <v/>
      </c>
      <c r="G458" s="8">
        <f>IF(F458="ocorrência","VP",IF(F458="sem ocorrência","FP",""))</f>
        <v/>
      </c>
      <c r="H458" s="7" t="n"/>
      <c r="I458" s="8">
        <f>IF(H458&lt;&gt;"",H458,G458)</f>
        <v/>
      </c>
    </row>
    <row r="459">
      <c r="A459" s="9" t="n"/>
      <c r="B459" s="9" t="n"/>
      <c r="C459" s="9" t="n"/>
      <c r="D459" s="9" t="n"/>
      <c r="E459" s="9" t="n"/>
      <c r="F459" s="8">
        <f>IF(A459="","",IFERROR(INDEX(Testes!$N$2:$N$500,MATCH(A459,Testes!$A$2:$A$500,0)),""))</f>
        <v/>
      </c>
      <c r="G459" s="8">
        <f>IF(F459="ocorrência","VP",IF(F459="sem ocorrência","FP",""))</f>
        <v/>
      </c>
      <c r="H459" s="7" t="n"/>
      <c r="I459" s="8">
        <f>IF(H459&lt;&gt;"",H459,G459)</f>
        <v/>
      </c>
    </row>
    <row r="460">
      <c r="A460" s="9" t="n"/>
      <c r="B460" s="9" t="n"/>
      <c r="C460" s="9" t="n"/>
      <c r="D460" s="9" t="n"/>
      <c r="E460" s="9" t="n"/>
      <c r="F460" s="8">
        <f>IF(A460="","",IFERROR(INDEX(Testes!$N$2:$N$500,MATCH(A460,Testes!$A$2:$A$500,0)),""))</f>
        <v/>
      </c>
      <c r="G460" s="8">
        <f>IF(F460="ocorrência","VP",IF(F460="sem ocorrência","FP",""))</f>
        <v/>
      </c>
      <c r="H460" s="7" t="n"/>
      <c r="I460" s="8">
        <f>IF(H460&lt;&gt;"",H460,G460)</f>
        <v/>
      </c>
    </row>
    <row r="461">
      <c r="A461" s="9" t="n"/>
      <c r="B461" s="9" t="n"/>
      <c r="C461" s="9" t="n"/>
      <c r="D461" s="9" t="n"/>
      <c r="E461" s="9" t="n"/>
      <c r="F461" s="8">
        <f>IF(A461="","",IFERROR(INDEX(Testes!$N$2:$N$500,MATCH(A461,Testes!$A$2:$A$500,0)),""))</f>
        <v/>
      </c>
      <c r="G461" s="8">
        <f>IF(F461="ocorrência","VP",IF(F461="sem ocorrência","FP",""))</f>
        <v/>
      </c>
      <c r="H461" s="7" t="n"/>
      <c r="I461" s="8">
        <f>IF(H461&lt;&gt;"",H461,G461)</f>
        <v/>
      </c>
    </row>
    <row r="462">
      <c r="A462" s="9" t="n"/>
      <c r="B462" s="9" t="n"/>
      <c r="C462" s="9" t="n"/>
      <c r="D462" s="9" t="n"/>
      <c r="E462" s="9" t="n"/>
      <c r="F462" s="8">
        <f>IF(A462="","",IFERROR(INDEX(Testes!$N$2:$N$500,MATCH(A462,Testes!$A$2:$A$500,0)),""))</f>
        <v/>
      </c>
      <c r="G462" s="8">
        <f>IF(F462="ocorrência","VP",IF(F462="sem ocorrência","FP",""))</f>
        <v/>
      </c>
      <c r="H462" s="7" t="n"/>
      <c r="I462" s="8">
        <f>IF(H462&lt;&gt;"",H462,G462)</f>
        <v/>
      </c>
    </row>
    <row r="463">
      <c r="A463" s="9" t="n"/>
      <c r="B463" s="9" t="n"/>
      <c r="C463" s="9" t="n"/>
      <c r="D463" s="9" t="n"/>
      <c r="E463" s="9" t="n"/>
      <c r="F463" s="8">
        <f>IF(A463="","",IFERROR(INDEX(Testes!$N$2:$N$500,MATCH(A463,Testes!$A$2:$A$500,0)),""))</f>
        <v/>
      </c>
      <c r="G463" s="8">
        <f>IF(F463="ocorrência","VP",IF(F463="sem ocorrência","FP",""))</f>
        <v/>
      </c>
      <c r="H463" s="7" t="n"/>
      <c r="I463" s="8">
        <f>IF(H463&lt;&gt;"",H463,G463)</f>
        <v/>
      </c>
    </row>
    <row r="464">
      <c r="A464" s="9" t="n"/>
      <c r="B464" s="9" t="n"/>
      <c r="C464" s="9" t="n"/>
      <c r="D464" s="9" t="n"/>
      <c r="E464" s="9" t="n"/>
      <c r="F464" s="8">
        <f>IF(A464="","",IFERROR(INDEX(Testes!$N$2:$N$500,MATCH(A464,Testes!$A$2:$A$500,0)),""))</f>
        <v/>
      </c>
      <c r="G464" s="8">
        <f>IF(F464="ocorrência","VP",IF(F464="sem ocorrência","FP",""))</f>
        <v/>
      </c>
      <c r="H464" s="7" t="n"/>
      <c r="I464" s="8">
        <f>IF(H464&lt;&gt;"",H464,G464)</f>
        <v/>
      </c>
    </row>
    <row r="465">
      <c r="A465" s="9" t="n"/>
      <c r="B465" s="9" t="n"/>
      <c r="C465" s="9" t="n"/>
      <c r="D465" s="9" t="n"/>
      <c r="E465" s="9" t="n"/>
      <c r="F465" s="8">
        <f>IF(A465="","",IFERROR(INDEX(Testes!$N$2:$N$500,MATCH(A465,Testes!$A$2:$A$500,0)),""))</f>
        <v/>
      </c>
      <c r="G465" s="8">
        <f>IF(F465="ocorrência","VP",IF(F465="sem ocorrência","FP",""))</f>
        <v/>
      </c>
      <c r="H465" s="7" t="n"/>
      <c r="I465" s="8">
        <f>IF(H465&lt;&gt;"",H465,G465)</f>
        <v/>
      </c>
    </row>
    <row r="466">
      <c r="A466" s="9" t="n"/>
      <c r="B466" s="9" t="n"/>
      <c r="C466" s="9" t="n"/>
      <c r="D466" s="9" t="n"/>
      <c r="E466" s="9" t="n"/>
      <c r="F466" s="8">
        <f>IF(A466="","",IFERROR(INDEX(Testes!$N$2:$N$500,MATCH(A466,Testes!$A$2:$A$500,0)),""))</f>
        <v/>
      </c>
      <c r="G466" s="8">
        <f>IF(F466="ocorrência","VP",IF(F466="sem ocorrência","FP",""))</f>
        <v/>
      </c>
      <c r="H466" s="7" t="n"/>
      <c r="I466" s="8">
        <f>IF(H466&lt;&gt;"",H466,G466)</f>
        <v/>
      </c>
    </row>
    <row r="467">
      <c r="A467" s="9" t="n"/>
      <c r="B467" s="9" t="n"/>
      <c r="C467" s="9" t="n"/>
      <c r="D467" s="9" t="n"/>
      <c r="E467" s="9" t="n"/>
      <c r="F467" s="8">
        <f>IF(A467="","",IFERROR(INDEX(Testes!$N$2:$N$500,MATCH(A467,Testes!$A$2:$A$500,0)),""))</f>
        <v/>
      </c>
      <c r="G467" s="8">
        <f>IF(F467="ocorrência","VP",IF(F467="sem ocorrência","FP",""))</f>
        <v/>
      </c>
      <c r="H467" s="7" t="n"/>
      <c r="I467" s="8">
        <f>IF(H467&lt;&gt;"",H467,G467)</f>
        <v/>
      </c>
    </row>
    <row r="468">
      <c r="A468" s="9" t="n"/>
      <c r="B468" s="9" t="n"/>
      <c r="C468" s="9" t="n"/>
      <c r="D468" s="9" t="n"/>
      <c r="E468" s="9" t="n"/>
      <c r="F468" s="8">
        <f>IF(A468="","",IFERROR(INDEX(Testes!$N$2:$N$500,MATCH(A468,Testes!$A$2:$A$500,0)),""))</f>
        <v/>
      </c>
      <c r="G468" s="8">
        <f>IF(F468="ocorrência","VP",IF(F468="sem ocorrência","FP",""))</f>
        <v/>
      </c>
      <c r="H468" s="7" t="n"/>
      <c r="I468" s="8">
        <f>IF(H468&lt;&gt;"",H468,G468)</f>
        <v/>
      </c>
    </row>
    <row r="469">
      <c r="A469" s="9" t="n"/>
      <c r="B469" s="9" t="n"/>
      <c r="C469" s="9" t="n"/>
      <c r="D469" s="9" t="n"/>
      <c r="E469" s="9" t="n"/>
      <c r="F469" s="8">
        <f>IF(A469="","",IFERROR(INDEX(Testes!$N$2:$N$500,MATCH(A469,Testes!$A$2:$A$500,0)),""))</f>
        <v/>
      </c>
      <c r="G469" s="8">
        <f>IF(F469="ocorrência","VP",IF(F469="sem ocorrência","FP",""))</f>
        <v/>
      </c>
      <c r="H469" s="7" t="n"/>
      <c r="I469" s="8">
        <f>IF(H469&lt;&gt;"",H469,G469)</f>
        <v/>
      </c>
    </row>
    <row r="470">
      <c r="A470" s="9" t="n"/>
      <c r="B470" s="9" t="n"/>
      <c r="C470" s="9" t="n"/>
      <c r="D470" s="9" t="n"/>
      <c r="E470" s="9" t="n"/>
      <c r="F470" s="8">
        <f>IF(A470="","",IFERROR(INDEX(Testes!$N$2:$N$500,MATCH(A470,Testes!$A$2:$A$500,0)),""))</f>
        <v/>
      </c>
      <c r="G470" s="8">
        <f>IF(F470="ocorrência","VP",IF(F470="sem ocorrência","FP",""))</f>
        <v/>
      </c>
      <c r="H470" s="7" t="n"/>
      <c r="I470" s="8">
        <f>IF(H470&lt;&gt;"",H470,G470)</f>
        <v/>
      </c>
    </row>
    <row r="471">
      <c r="A471" s="9" t="n"/>
      <c r="B471" s="9" t="n"/>
      <c r="C471" s="9" t="n"/>
      <c r="D471" s="9" t="n"/>
      <c r="E471" s="9" t="n"/>
      <c r="F471" s="8">
        <f>IF(A471="","",IFERROR(INDEX(Testes!$N$2:$N$500,MATCH(A471,Testes!$A$2:$A$500,0)),""))</f>
        <v/>
      </c>
      <c r="G471" s="8">
        <f>IF(F471="ocorrência","VP",IF(F471="sem ocorrência","FP",""))</f>
        <v/>
      </c>
      <c r="H471" s="7" t="n"/>
      <c r="I471" s="8">
        <f>IF(H471&lt;&gt;"",H471,G471)</f>
        <v/>
      </c>
    </row>
    <row r="472">
      <c r="A472" s="9" t="n"/>
      <c r="B472" s="9" t="n"/>
      <c r="C472" s="9" t="n"/>
      <c r="D472" s="9" t="n"/>
      <c r="E472" s="9" t="n"/>
      <c r="F472" s="8">
        <f>IF(A472="","",IFERROR(INDEX(Testes!$N$2:$N$500,MATCH(A472,Testes!$A$2:$A$500,0)),""))</f>
        <v/>
      </c>
      <c r="G472" s="8">
        <f>IF(F472="ocorrência","VP",IF(F472="sem ocorrência","FP",""))</f>
        <v/>
      </c>
      <c r="H472" s="7" t="n"/>
      <c r="I472" s="8">
        <f>IF(H472&lt;&gt;"",H472,G472)</f>
        <v/>
      </c>
    </row>
    <row r="473">
      <c r="A473" s="9" t="n"/>
      <c r="B473" s="9" t="n"/>
      <c r="C473" s="9" t="n"/>
      <c r="D473" s="9" t="n"/>
      <c r="E473" s="9" t="n"/>
      <c r="F473" s="8">
        <f>IF(A473="","",IFERROR(INDEX(Testes!$N$2:$N$500,MATCH(A473,Testes!$A$2:$A$500,0)),""))</f>
        <v/>
      </c>
      <c r="G473" s="8">
        <f>IF(F473="ocorrência","VP",IF(F473="sem ocorrência","FP",""))</f>
        <v/>
      </c>
      <c r="H473" s="7" t="n"/>
      <c r="I473" s="8">
        <f>IF(H473&lt;&gt;"",H473,G473)</f>
        <v/>
      </c>
    </row>
    <row r="474">
      <c r="A474" s="9" t="n"/>
      <c r="B474" s="9" t="n"/>
      <c r="C474" s="9" t="n"/>
      <c r="D474" s="9" t="n"/>
      <c r="E474" s="9" t="n"/>
      <c r="F474" s="8">
        <f>IF(A474="","",IFERROR(INDEX(Testes!$N$2:$N$500,MATCH(A474,Testes!$A$2:$A$500,0)),""))</f>
        <v/>
      </c>
      <c r="G474" s="8">
        <f>IF(F474="ocorrência","VP",IF(F474="sem ocorrência","FP",""))</f>
        <v/>
      </c>
      <c r="H474" s="7" t="n"/>
      <c r="I474" s="8">
        <f>IF(H474&lt;&gt;"",H474,G474)</f>
        <v/>
      </c>
    </row>
    <row r="475">
      <c r="A475" s="9" t="n"/>
      <c r="B475" s="9" t="n"/>
      <c r="C475" s="9" t="n"/>
      <c r="D475" s="9" t="n"/>
      <c r="E475" s="9" t="n"/>
      <c r="F475" s="8">
        <f>IF(A475="","",IFERROR(INDEX(Testes!$N$2:$N$500,MATCH(A475,Testes!$A$2:$A$500,0)),""))</f>
        <v/>
      </c>
      <c r="G475" s="8">
        <f>IF(F475="ocorrência","VP",IF(F475="sem ocorrência","FP",""))</f>
        <v/>
      </c>
      <c r="H475" s="7" t="n"/>
      <c r="I475" s="8">
        <f>IF(H475&lt;&gt;"",H475,G475)</f>
        <v/>
      </c>
    </row>
    <row r="476">
      <c r="A476" s="9" t="n"/>
      <c r="B476" s="9" t="n"/>
      <c r="C476" s="9" t="n"/>
      <c r="D476" s="9" t="n"/>
      <c r="E476" s="9" t="n"/>
      <c r="F476" s="8">
        <f>IF(A476="","",IFERROR(INDEX(Testes!$N$2:$N$500,MATCH(A476,Testes!$A$2:$A$500,0)),""))</f>
        <v/>
      </c>
      <c r="G476" s="8">
        <f>IF(F476="ocorrência","VP",IF(F476="sem ocorrência","FP",""))</f>
        <v/>
      </c>
      <c r="H476" s="7" t="n"/>
      <c r="I476" s="8">
        <f>IF(H476&lt;&gt;"",H476,G476)</f>
        <v/>
      </c>
    </row>
    <row r="477">
      <c r="A477" s="9" t="n"/>
      <c r="B477" s="9" t="n"/>
      <c r="C477" s="9" t="n"/>
      <c r="D477" s="9" t="n"/>
      <c r="E477" s="9" t="n"/>
      <c r="F477" s="8">
        <f>IF(A477="","",IFERROR(INDEX(Testes!$N$2:$N$500,MATCH(A477,Testes!$A$2:$A$500,0)),""))</f>
        <v/>
      </c>
      <c r="G477" s="8">
        <f>IF(F477="ocorrência","VP",IF(F477="sem ocorrência","FP",""))</f>
        <v/>
      </c>
      <c r="H477" s="7" t="n"/>
      <c r="I477" s="8">
        <f>IF(H477&lt;&gt;"",H477,G477)</f>
        <v/>
      </c>
    </row>
    <row r="478">
      <c r="A478" s="9" t="n"/>
      <c r="B478" s="9" t="n"/>
      <c r="C478" s="9" t="n"/>
      <c r="D478" s="9" t="n"/>
      <c r="E478" s="9" t="n"/>
      <c r="F478" s="8">
        <f>IF(A478="","",IFERROR(INDEX(Testes!$N$2:$N$500,MATCH(A478,Testes!$A$2:$A$500,0)),""))</f>
        <v/>
      </c>
      <c r="G478" s="8">
        <f>IF(F478="ocorrência","VP",IF(F478="sem ocorrência","FP",""))</f>
        <v/>
      </c>
      <c r="H478" s="7" t="n"/>
      <c r="I478" s="8">
        <f>IF(H478&lt;&gt;"",H478,G478)</f>
        <v/>
      </c>
    </row>
    <row r="479">
      <c r="A479" s="9" t="n"/>
      <c r="B479" s="9" t="n"/>
      <c r="C479" s="9" t="n"/>
      <c r="D479" s="9" t="n"/>
      <c r="E479" s="9" t="n"/>
      <c r="F479" s="8">
        <f>IF(A479="","",IFERROR(INDEX(Testes!$N$2:$N$500,MATCH(A479,Testes!$A$2:$A$500,0)),""))</f>
        <v/>
      </c>
      <c r="G479" s="8">
        <f>IF(F479="ocorrência","VP",IF(F479="sem ocorrência","FP",""))</f>
        <v/>
      </c>
      <c r="H479" s="7" t="n"/>
      <c r="I479" s="8">
        <f>IF(H479&lt;&gt;"",H479,G479)</f>
        <v/>
      </c>
    </row>
    <row r="480">
      <c r="A480" s="9" t="n"/>
      <c r="B480" s="9" t="n"/>
      <c r="C480" s="9" t="n"/>
      <c r="D480" s="9" t="n"/>
      <c r="E480" s="9" t="n"/>
      <c r="F480" s="8">
        <f>IF(A480="","",IFERROR(INDEX(Testes!$N$2:$N$500,MATCH(A480,Testes!$A$2:$A$500,0)),""))</f>
        <v/>
      </c>
      <c r="G480" s="8">
        <f>IF(F480="ocorrência","VP",IF(F480="sem ocorrência","FP",""))</f>
        <v/>
      </c>
      <c r="H480" s="7" t="n"/>
      <c r="I480" s="8">
        <f>IF(H480&lt;&gt;"",H480,G480)</f>
        <v/>
      </c>
    </row>
    <row r="481">
      <c r="A481" s="9" t="n"/>
      <c r="B481" s="9" t="n"/>
      <c r="C481" s="9" t="n"/>
      <c r="D481" s="9" t="n"/>
      <c r="E481" s="9" t="n"/>
      <c r="F481" s="8">
        <f>IF(A481="","",IFERROR(INDEX(Testes!$N$2:$N$500,MATCH(A481,Testes!$A$2:$A$500,0)),""))</f>
        <v/>
      </c>
      <c r="G481" s="8">
        <f>IF(F481="ocorrência","VP",IF(F481="sem ocorrência","FP",""))</f>
        <v/>
      </c>
      <c r="H481" s="7" t="n"/>
      <c r="I481" s="8">
        <f>IF(H481&lt;&gt;"",H481,G481)</f>
        <v/>
      </c>
    </row>
    <row r="482">
      <c r="A482" s="9" t="n"/>
      <c r="B482" s="9" t="n"/>
      <c r="C482" s="9" t="n"/>
      <c r="D482" s="9" t="n"/>
      <c r="E482" s="9" t="n"/>
      <c r="F482" s="8">
        <f>IF(A482="","",IFERROR(INDEX(Testes!$N$2:$N$500,MATCH(A482,Testes!$A$2:$A$500,0)),""))</f>
        <v/>
      </c>
      <c r="G482" s="8">
        <f>IF(F482="ocorrência","VP",IF(F482="sem ocorrência","FP",""))</f>
        <v/>
      </c>
      <c r="H482" s="7" t="n"/>
      <c r="I482" s="8">
        <f>IF(H482&lt;&gt;"",H482,G482)</f>
        <v/>
      </c>
    </row>
    <row r="483">
      <c r="A483" s="9" t="n"/>
      <c r="B483" s="9" t="n"/>
      <c r="C483" s="9" t="n"/>
      <c r="D483" s="9" t="n"/>
      <c r="E483" s="9" t="n"/>
      <c r="F483" s="8">
        <f>IF(A483="","",IFERROR(INDEX(Testes!$N$2:$N$500,MATCH(A483,Testes!$A$2:$A$500,0)),""))</f>
        <v/>
      </c>
      <c r="G483" s="8">
        <f>IF(F483="ocorrência","VP",IF(F483="sem ocorrência","FP",""))</f>
        <v/>
      </c>
      <c r="H483" s="7" t="n"/>
      <c r="I483" s="8">
        <f>IF(H483&lt;&gt;"",H483,G483)</f>
        <v/>
      </c>
    </row>
    <row r="484">
      <c r="A484" s="9" t="n"/>
      <c r="B484" s="9" t="n"/>
      <c r="C484" s="9" t="n"/>
      <c r="D484" s="9" t="n"/>
      <c r="E484" s="9" t="n"/>
      <c r="F484" s="8">
        <f>IF(A484="","",IFERROR(INDEX(Testes!$N$2:$N$500,MATCH(A484,Testes!$A$2:$A$500,0)),""))</f>
        <v/>
      </c>
      <c r="G484" s="8">
        <f>IF(F484="ocorrência","VP",IF(F484="sem ocorrência","FP",""))</f>
        <v/>
      </c>
      <c r="H484" s="7" t="n"/>
      <c r="I484" s="8">
        <f>IF(H484&lt;&gt;"",H484,G484)</f>
        <v/>
      </c>
    </row>
    <row r="485">
      <c r="A485" s="9" t="n"/>
      <c r="B485" s="9" t="n"/>
      <c r="C485" s="9" t="n"/>
      <c r="D485" s="9" t="n"/>
      <c r="E485" s="9" t="n"/>
      <c r="F485" s="8">
        <f>IF(A485="","",IFERROR(INDEX(Testes!$N$2:$N$500,MATCH(A485,Testes!$A$2:$A$500,0)),""))</f>
        <v/>
      </c>
      <c r="G485" s="8">
        <f>IF(F485="ocorrência","VP",IF(F485="sem ocorrência","FP",""))</f>
        <v/>
      </c>
      <c r="H485" s="7" t="n"/>
      <c r="I485" s="8">
        <f>IF(H485&lt;&gt;"",H485,G485)</f>
        <v/>
      </c>
    </row>
    <row r="486">
      <c r="A486" s="9" t="n"/>
      <c r="B486" s="9" t="n"/>
      <c r="C486" s="9" t="n"/>
      <c r="D486" s="9" t="n"/>
      <c r="E486" s="9" t="n"/>
      <c r="F486" s="8">
        <f>IF(A486="","",IFERROR(INDEX(Testes!$N$2:$N$500,MATCH(A486,Testes!$A$2:$A$500,0)),""))</f>
        <v/>
      </c>
      <c r="G486" s="8">
        <f>IF(F486="ocorrência","VP",IF(F486="sem ocorrência","FP",""))</f>
        <v/>
      </c>
      <c r="H486" s="7" t="n"/>
      <c r="I486" s="8">
        <f>IF(H486&lt;&gt;"",H486,G486)</f>
        <v/>
      </c>
    </row>
    <row r="487">
      <c r="A487" s="9" t="n"/>
      <c r="B487" s="9" t="n"/>
      <c r="C487" s="9" t="n"/>
      <c r="D487" s="9" t="n"/>
      <c r="E487" s="9" t="n"/>
      <c r="F487" s="8">
        <f>IF(A487="","",IFERROR(INDEX(Testes!$N$2:$N$500,MATCH(A487,Testes!$A$2:$A$500,0)),""))</f>
        <v/>
      </c>
      <c r="G487" s="8">
        <f>IF(F487="ocorrência","VP",IF(F487="sem ocorrência","FP",""))</f>
        <v/>
      </c>
      <c r="H487" s="7" t="n"/>
      <c r="I487" s="8">
        <f>IF(H487&lt;&gt;"",H487,G487)</f>
        <v/>
      </c>
    </row>
    <row r="488">
      <c r="A488" s="9" t="n"/>
      <c r="B488" s="9" t="n"/>
      <c r="C488" s="9" t="n"/>
      <c r="D488" s="9" t="n"/>
      <c r="E488" s="9" t="n"/>
      <c r="F488" s="8">
        <f>IF(A488="","",IFERROR(INDEX(Testes!$N$2:$N$500,MATCH(A488,Testes!$A$2:$A$500,0)),""))</f>
        <v/>
      </c>
      <c r="G488" s="8">
        <f>IF(F488="ocorrência","VP",IF(F488="sem ocorrência","FP",""))</f>
        <v/>
      </c>
      <c r="H488" s="7" t="n"/>
      <c r="I488" s="8">
        <f>IF(H488&lt;&gt;"",H488,G488)</f>
        <v/>
      </c>
    </row>
    <row r="489">
      <c r="A489" s="9" t="n"/>
      <c r="B489" s="9" t="n"/>
      <c r="C489" s="9" t="n"/>
      <c r="D489" s="9" t="n"/>
      <c r="E489" s="9" t="n"/>
      <c r="F489" s="8">
        <f>IF(A489="","",IFERROR(INDEX(Testes!$N$2:$N$500,MATCH(A489,Testes!$A$2:$A$500,0)),""))</f>
        <v/>
      </c>
      <c r="G489" s="8">
        <f>IF(F489="ocorrência","VP",IF(F489="sem ocorrência","FP",""))</f>
        <v/>
      </c>
      <c r="H489" s="7" t="n"/>
      <c r="I489" s="8">
        <f>IF(H489&lt;&gt;"",H489,G489)</f>
        <v/>
      </c>
    </row>
    <row r="490">
      <c r="A490" s="9" t="n"/>
      <c r="B490" s="9" t="n"/>
      <c r="C490" s="9" t="n"/>
      <c r="D490" s="9" t="n"/>
      <c r="E490" s="9" t="n"/>
      <c r="F490" s="8">
        <f>IF(A490="","",IFERROR(INDEX(Testes!$N$2:$N$500,MATCH(A490,Testes!$A$2:$A$500,0)),""))</f>
        <v/>
      </c>
      <c r="G490" s="8">
        <f>IF(F490="ocorrência","VP",IF(F490="sem ocorrência","FP",""))</f>
        <v/>
      </c>
      <c r="H490" s="7" t="n"/>
      <c r="I490" s="8">
        <f>IF(H490&lt;&gt;"",H490,G490)</f>
        <v/>
      </c>
    </row>
    <row r="491">
      <c r="A491" s="9" t="n"/>
      <c r="B491" s="9" t="n"/>
      <c r="C491" s="9" t="n"/>
      <c r="D491" s="9" t="n"/>
      <c r="E491" s="9" t="n"/>
      <c r="F491" s="8">
        <f>IF(A491="","",IFERROR(INDEX(Testes!$N$2:$N$500,MATCH(A491,Testes!$A$2:$A$500,0)),""))</f>
        <v/>
      </c>
      <c r="G491" s="8">
        <f>IF(F491="ocorrência","VP",IF(F491="sem ocorrência","FP",""))</f>
        <v/>
      </c>
      <c r="H491" s="7" t="n"/>
      <c r="I491" s="8">
        <f>IF(H491&lt;&gt;"",H491,G491)</f>
        <v/>
      </c>
    </row>
    <row r="492">
      <c r="A492" s="9" t="n"/>
      <c r="B492" s="9" t="n"/>
      <c r="C492" s="9" t="n"/>
      <c r="D492" s="9" t="n"/>
      <c r="E492" s="9" t="n"/>
      <c r="F492" s="8">
        <f>IF(A492="","",IFERROR(INDEX(Testes!$N$2:$N$500,MATCH(A492,Testes!$A$2:$A$500,0)),""))</f>
        <v/>
      </c>
      <c r="G492" s="8">
        <f>IF(F492="ocorrência","VP",IF(F492="sem ocorrência","FP",""))</f>
        <v/>
      </c>
      <c r="H492" s="7" t="n"/>
      <c r="I492" s="8">
        <f>IF(H492&lt;&gt;"",H492,G492)</f>
        <v/>
      </c>
    </row>
    <row r="493">
      <c r="A493" s="9" t="n"/>
      <c r="B493" s="9" t="n"/>
      <c r="C493" s="9" t="n"/>
      <c r="D493" s="9" t="n"/>
      <c r="E493" s="9" t="n"/>
      <c r="F493" s="8">
        <f>IF(A493="","",IFERROR(INDEX(Testes!$N$2:$N$500,MATCH(A493,Testes!$A$2:$A$500,0)),""))</f>
        <v/>
      </c>
      <c r="G493" s="8">
        <f>IF(F493="ocorrência","VP",IF(F493="sem ocorrência","FP",""))</f>
        <v/>
      </c>
      <c r="H493" s="7" t="n"/>
      <c r="I493" s="8">
        <f>IF(H493&lt;&gt;"",H493,G493)</f>
        <v/>
      </c>
    </row>
    <row r="494">
      <c r="A494" s="9" t="n"/>
      <c r="B494" s="9" t="n"/>
      <c r="C494" s="9" t="n"/>
      <c r="D494" s="9" t="n"/>
      <c r="E494" s="9" t="n"/>
      <c r="F494" s="8">
        <f>IF(A494="","",IFERROR(INDEX(Testes!$N$2:$N$500,MATCH(A494,Testes!$A$2:$A$500,0)),""))</f>
        <v/>
      </c>
      <c r="G494" s="8">
        <f>IF(F494="ocorrência","VP",IF(F494="sem ocorrência","FP",""))</f>
        <v/>
      </c>
      <c r="H494" s="7" t="n"/>
      <c r="I494" s="8">
        <f>IF(H494&lt;&gt;"",H494,G494)</f>
        <v/>
      </c>
    </row>
    <row r="495">
      <c r="A495" s="9" t="n"/>
      <c r="B495" s="9" t="n"/>
      <c r="C495" s="9" t="n"/>
      <c r="D495" s="9" t="n"/>
      <c r="E495" s="9" t="n"/>
      <c r="F495" s="8">
        <f>IF(A495="","",IFERROR(INDEX(Testes!$N$2:$N$500,MATCH(A495,Testes!$A$2:$A$500,0)),""))</f>
        <v/>
      </c>
      <c r="G495" s="8">
        <f>IF(F495="ocorrência","VP",IF(F495="sem ocorrência","FP",""))</f>
        <v/>
      </c>
      <c r="H495" s="7" t="n"/>
      <c r="I495" s="8">
        <f>IF(H495&lt;&gt;"",H495,G495)</f>
        <v/>
      </c>
    </row>
    <row r="496">
      <c r="A496" s="9" t="n"/>
      <c r="B496" s="9" t="n"/>
      <c r="C496" s="9" t="n"/>
      <c r="D496" s="9" t="n"/>
      <c r="E496" s="9" t="n"/>
      <c r="F496" s="8">
        <f>IF(A496="","",IFERROR(INDEX(Testes!$N$2:$N$500,MATCH(A496,Testes!$A$2:$A$500,0)),""))</f>
        <v/>
      </c>
      <c r="G496" s="8">
        <f>IF(F496="ocorrência","VP",IF(F496="sem ocorrência","FP",""))</f>
        <v/>
      </c>
      <c r="H496" s="7" t="n"/>
      <c r="I496" s="8">
        <f>IF(H496&lt;&gt;"",H496,G496)</f>
        <v/>
      </c>
    </row>
    <row r="497">
      <c r="A497" s="9" t="n"/>
      <c r="B497" s="9" t="n"/>
      <c r="C497" s="9" t="n"/>
      <c r="D497" s="9" t="n"/>
      <c r="E497" s="9" t="n"/>
      <c r="F497" s="8">
        <f>IF(A497="","",IFERROR(INDEX(Testes!$N$2:$N$500,MATCH(A497,Testes!$A$2:$A$500,0)),""))</f>
        <v/>
      </c>
      <c r="G497" s="8">
        <f>IF(F497="ocorrência","VP",IF(F497="sem ocorrência","FP",""))</f>
        <v/>
      </c>
      <c r="H497" s="7" t="n"/>
      <c r="I497" s="8">
        <f>IF(H497&lt;&gt;"",H497,G497)</f>
        <v/>
      </c>
    </row>
    <row r="498">
      <c r="A498" s="9" t="n"/>
      <c r="B498" s="9" t="n"/>
      <c r="C498" s="9" t="n"/>
      <c r="D498" s="9" t="n"/>
      <c r="E498" s="9" t="n"/>
      <c r="F498" s="8">
        <f>IF(A498="","",IFERROR(INDEX(Testes!$N$2:$N$500,MATCH(A498,Testes!$A$2:$A$500,0)),""))</f>
        <v/>
      </c>
      <c r="G498" s="8">
        <f>IF(F498="ocorrência","VP",IF(F498="sem ocorrência","FP",""))</f>
        <v/>
      </c>
      <c r="H498" s="7" t="n"/>
      <c r="I498" s="8">
        <f>IF(H498&lt;&gt;"",H498,G498)</f>
        <v/>
      </c>
    </row>
    <row r="499">
      <c r="A499" s="9" t="n"/>
      <c r="B499" s="9" t="n"/>
      <c r="C499" s="9" t="n"/>
      <c r="D499" s="9" t="n"/>
      <c r="E499" s="9" t="n"/>
      <c r="F499" s="8">
        <f>IF(A499="","",IFERROR(INDEX(Testes!$N$2:$N$500,MATCH(A499,Testes!$A$2:$A$500,0)),""))</f>
        <v/>
      </c>
      <c r="G499" s="8">
        <f>IF(F499="ocorrência","VP",IF(F499="sem ocorrência","FP",""))</f>
        <v/>
      </c>
      <c r="H499" s="7" t="n"/>
      <c r="I499" s="8">
        <f>IF(H499&lt;&gt;"",H499,G499)</f>
        <v/>
      </c>
    </row>
    <row r="500">
      <c r="A500" s="9" t="n"/>
      <c r="B500" s="9" t="n"/>
      <c r="C500" s="9" t="n"/>
      <c r="D500" s="9" t="n"/>
      <c r="E500" s="9" t="n"/>
      <c r="F500" s="8">
        <f>IF(A500="","",IFERROR(INDEX(Testes!$N$2:$N$500,MATCH(A500,Testes!$A$2:$A$500,0)),""))</f>
        <v/>
      </c>
      <c r="G500" s="8">
        <f>IF(F500="ocorrência","VP",IF(F500="sem ocorrência","FP",""))</f>
        <v/>
      </c>
      <c r="H500" s="7" t="n"/>
      <c r="I500" s="8">
        <f>IF(H500&lt;&gt;"",H500,G500)</f>
        <v/>
      </c>
    </row>
    <row r="501">
      <c r="A501" s="9" t="n"/>
      <c r="B501" s="9" t="n"/>
      <c r="C501" s="9" t="n"/>
      <c r="D501" s="9" t="n"/>
      <c r="E501" s="9" t="n"/>
      <c r="F501" s="8">
        <f>IF(A501="","",IFERROR(INDEX(Testes!$N$2:$N$500,MATCH(A501,Testes!$A$2:$A$500,0)),""))</f>
        <v/>
      </c>
      <c r="G501" s="8">
        <f>IF(F501="ocorrência","VP",IF(F501="sem ocorrência","FP",""))</f>
        <v/>
      </c>
      <c r="H501" s="7" t="n"/>
      <c r="I501" s="8">
        <f>IF(H501&lt;&gt;"",H501,G501)</f>
        <v/>
      </c>
    </row>
    <row r="502">
      <c r="A502" s="9" t="n"/>
      <c r="B502" s="9" t="n"/>
      <c r="C502" s="9" t="n"/>
      <c r="D502" s="9" t="n"/>
      <c r="E502" s="9" t="n"/>
      <c r="F502" s="8">
        <f>IF(A502="","",IFERROR(INDEX(Testes!$N$2:$N$500,MATCH(A502,Testes!$A$2:$A$500,0)),""))</f>
        <v/>
      </c>
      <c r="G502" s="8">
        <f>IF(F502="ocorrência","VP",IF(F502="sem ocorrência","FP",""))</f>
        <v/>
      </c>
      <c r="H502" s="7" t="n"/>
      <c r="I502" s="8">
        <f>IF(H502&lt;&gt;"",H502,G502)</f>
        <v/>
      </c>
    </row>
    <row r="503">
      <c r="A503" s="9" t="n"/>
      <c r="B503" s="9" t="n"/>
      <c r="C503" s="9" t="n"/>
      <c r="D503" s="9" t="n"/>
      <c r="E503" s="9" t="n"/>
      <c r="F503" s="8">
        <f>IF(A503="","",IFERROR(INDEX(Testes!$N$2:$N$500,MATCH(A503,Testes!$A$2:$A$500,0)),""))</f>
        <v/>
      </c>
      <c r="G503" s="8">
        <f>IF(F503="ocorrência","VP",IF(F503="sem ocorrência","FP",""))</f>
        <v/>
      </c>
      <c r="H503" s="7" t="n"/>
      <c r="I503" s="8">
        <f>IF(H503&lt;&gt;"",H503,G503)</f>
        <v/>
      </c>
    </row>
    <row r="504">
      <c r="A504" s="9" t="n"/>
      <c r="B504" s="9" t="n"/>
      <c r="C504" s="9" t="n"/>
      <c r="D504" s="9" t="n"/>
      <c r="E504" s="9" t="n"/>
      <c r="F504" s="8">
        <f>IF(A504="","",IFERROR(INDEX(Testes!$N$2:$N$500,MATCH(A504,Testes!$A$2:$A$500,0)),""))</f>
        <v/>
      </c>
      <c r="G504" s="8">
        <f>IF(F504="ocorrência","VP",IF(F504="sem ocorrência","FP",""))</f>
        <v/>
      </c>
      <c r="H504" s="7" t="n"/>
      <c r="I504" s="8">
        <f>IF(H504&lt;&gt;"",H504,G504)</f>
        <v/>
      </c>
    </row>
    <row r="505">
      <c r="A505" s="9" t="n"/>
      <c r="B505" s="9" t="n"/>
      <c r="C505" s="9" t="n"/>
      <c r="D505" s="9" t="n"/>
      <c r="E505" s="9" t="n"/>
      <c r="F505" s="8">
        <f>IF(A505="","",IFERROR(INDEX(Testes!$N$2:$N$500,MATCH(A505,Testes!$A$2:$A$500,0)),""))</f>
        <v/>
      </c>
      <c r="G505" s="8">
        <f>IF(F505="ocorrência","VP",IF(F505="sem ocorrência","FP",""))</f>
        <v/>
      </c>
      <c r="H505" s="7" t="n"/>
      <c r="I505" s="8">
        <f>IF(H505&lt;&gt;"",H505,G505)</f>
        <v/>
      </c>
    </row>
    <row r="506">
      <c r="A506" s="9" t="n"/>
      <c r="B506" s="9" t="n"/>
      <c r="C506" s="9" t="n"/>
      <c r="D506" s="9" t="n"/>
      <c r="E506" s="9" t="n"/>
      <c r="F506" s="8">
        <f>IF(A506="","",IFERROR(INDEX(Testes!$N$2:$N$500,MATCH(A506,Testes!$A$2:$A$500,0)),""))</f>
        <v/>
      </c>
      <c r="G506" s="8">
        <f>IF(F506="ocorrência","VP",IF(F506="sem ocorrência","FP",""))</f>
        <v/>
      </c>
      <c r="H506" s="7" t="n"/>
      <c r="I506" s="8">
        <f>IF(H506&lt;&gt;"",H506,G506)</f>
        <v/>
      </c>
    </row>
    <row r="507">
      <c r="A507" s="9" t="n"/>
      <c r="B507" s="9" t="n"/>
      <c r="C507" s="9" t="n"/>
      <c r="D507" s="9" t="n"/>
      <c r="E507" s="9" t="n"/>
      <c r="F507" s="8">
        <f>IF(A507="","",IFERROR(INDEX(Testes!$N$2:$N$500,MATCH(A507,Testes!$A$2:$A$500,0)),""))</f>
        <v/>
      </c>
      <c r="G507" s="8">
        <f>IF(F507="ocorrência","VP",IF(F507="sem ocorrência","FP",""))</f>
        <v/>
      </c>
      <c r="H507" s="7" t="n"/>
      <c r="I507" s="8">
        <f>IF(H507&lt;&gt;"",H507,G507)</f>
        <v/>
      </c>
    </row>
    <row r="508">
      <c r="A508" s="9" t="n"/>
      <c r="B508" s="9" t="n"/>
      <c r="C508" s="9" t="n"/>
      <c r="D508" s="9" t="n"/>
      <c r="E508" s="9" t="n"/>
      <c r="F508" s="8">
        <f>IF(A508="","",IFERROR(INDEX(Testes!$N$2:$N$500,MATCH(A508,Testes!$A$2:$A$500,0)),""))</f>
        <v/>
      </c>
      <c r="G508" s="8">
        <f>IF(F508="ocorrência","VP",IF(F508="sem ocorrência","FP",""))</f>
        <v/>
      </c>
      <c r="H508" s="7" t="n"/>
      <c r="I508" s="8">
        <f>IF(H508&lt;&gt;"",H508,G508)</f>
        <v/>
      </c>
    </row>
    <row r="509">
      <c r="A509" s="9" t="n"/>
      <c r="B509" s="9" t="n"/>
      <c r="C509" s="9" t="n"/>
      <c r="D509" s="9" t="n"/>
      <c r="E509" s="9" t="n"/>
      <c r="F509" s="8">
        <f>IF(A509="","",IFERROR(INDEX(Testes!$N$2:$N$500,MATCH(A509,Testes!$A$2:$A$500,0)),""))</f>
        <v/>
      </c>
      <c r="G509" s="8">
        <f>IF(F509="ocorrência","VP",IF(F509="sem ocorrência","FP",""))</f>
        <v/>
      </c>
      <c r="H509" s="7" t="n"/>
      <c r="I509" s="8">
        <f>IF(H509&lt;&gt;"",H509,G509)</f>
        <v/>
      </c>
    </row>
    <row r="510">
      <c r="A510" s="9" t="n"/>
      <c r="B510" s="9" t="n"/>
      <c r="C510" s="9" t="n"/>
      <c r="D510" s="9" t="n"/>
      <c r="E510" s="9" t="n"/>
      <c r="F510" s="8">
        <f>IF(A510="","",IFERROR(INDEX(Testes!$N$2:$N$500,MATCH(A510,Testes!$A$2:$A$500,0)),""))</f>
        <v/>
      </c>
      <c r="G510" s="8">
        <f>IF(F510="ocorrência","VP",IF(F510="sem ocorrência","FP",""))</f>
        <v/>
      </c>
      <c r="H510" s="7" t="n"/>
      <c r="I510" s="8">
        <f>IF(H510&lt;&gt;"",H510,G510)</f>
        <v/>
      </c>
    </row>
    <row r="511">
      <c r="A511" s="9" t="n"/>
      <c r="B511" s="9" t="n"/>
      <c r="C511" s="9" t="n"/>
      <c r="D511" s="9" t="n"/>
      <c r="E511" s="9" t="n"/>
      <c r="F511" s="8">
        <f>IF(A511="","",IFERROR(INDEX(Testes!$N$2:$N$500,MATCH(A511,Testes!$A$2:$A$500,0)),""))</f>
        <v/>
      </c>
      <c r="G511" s="8">
        <f>IF(F511="ocorrência","VP",IF(F511="sem ocorrência","FP",""))</f>
        <v/>
      </c>
      <c r="H511" s="7" t="n"/>
      <c r="I511" s="8">
        <f>IF(H511&lt;&gt;"",H511,G511)</f>
        <v/>
      </c>
    </row>
    <row r="512">
      <c r="A512" s="9" t="n"/>
      <c r="B512" s="9" t="n"/>
      <c r="C512" s="9" t="n"/>
      <c r="D512" s="9" t="n"/>
      <c r="E512" s="9" t="n"/>
      <c r="F512" s="8">
        <f>IF(A512="","",IFERROR(INDEX(Testes!$N$2:$N$500,MATCH(A512,Testes!$A$2:$A$500,0)),""))</f>
        <v/>
      </c>
      <c r="G512" s="8">
        <f>IF(F512="ocorrência","VP",IF(F512="sem ocorrência","FP",""))</f>
        <v/>
      </c>
      <c r="H512" s="7" t="n"/>
      <c r="I512" s="8">
        <f>IF(H512&lt;&gt;"",H512,G512)</f>
        <v/>
      </c>
    </row>
    <row r="513">
      <c r="A513" s="9" t="n"/>
      <c r="B513" s="9" t="n"/>
      <c r="C513" s="9" t="n"/>
      <c r="D513" s="9" t="n"/>
      <c r="E513" s="9" t="n"/>
      <c r="F513" s="8">
        <f>IF(A513="","",IFERROR(INDEX(Testes!$N$2:$N$500,MATCH(A513,Testes!$A$2:$A$500,0)),""))</f>
        <v/>
      </c>
      <c r="G513" s="8">
        <f>IF(F513="ocorrência","VP",IF(F513="sem ocorrência","FP",""))</f>
        <v/>
      </c>
      <c r="H513" s="7" t="n"/>
      <c r="I513" s="8">
        <f>IF(H513&lt;&gt;"",H513,G513)</f>
        <v/>
      </c>
    </row>
    <row r="514">
      <c r="A514" s="9" t="n"/>
      <c r="B514" s="9" t="n"/>
      <c r="C514" s="9" t="n"/>
      <c r="D514" s="9" t="n"/>
      <c r="E514" s="9" t="n"/>
      <c r="F514" s="8">
        <f>IF(A514="","",IFERROR(INDEX(Testes!$N$2:$N$500,MATCH(A514,Testes!$A$2:$A$500,0)),""))</f>
        <v/>
      </c>
      <c r="G514" s="8">
        <f>IF(F514="ocorrência","VP",IF(F514="sem ocorrência","FP",""))</f>
        <v/>
      </c>
      <c r="H514" s="7" t="n"/>
      <c r="I514" s="8">
        <f>IF(H514&lt;&gt;"",H514,G514)</f>
        <v/>
      </c>
    </row>
    <row r="515">
      <c r="A515" s="9" t="n"/>
      <c r="B515" s="9" t="n"/>
      <c r="C515" s="9" t="n"/>
      <c r="D515" s="9" t="n"/>
      <c r="E515" s="9" t="n"/>
      <c r="F515" s="8">
        <f>IF(A515="","",IFERROR(INDEX(Testes!$N$2:$N$500,MATCH(A515,Testes!$A$2:$A$500,0)),""))</f>
        <v/>
      </c>
      <c r="G515" s="8">
        <f>IF(F515="ocorrência","VP",IF(F515="sem ocorrência","FP",""))</f>
        <v/>
      </c>
      <c r="H515" s="7" t="n"/>
      <c r="I515" s="8">
        <f>IF(H515&lt;&gt;"",H515,G515)</f>
        <v/>
      </c>
    </row>
    <row r="516">
      <c r="A516" s="9" t="n"/>
      <c r="B516" s="9" t="n"/>
      <c r="C516" s="9" t="n"/>
      <c r="D516" s="9" t="n"/>
      <c r="E516" s="9" t="n"/>
      <c r="F516" s="8">
        <f>IF(A516="","",IFERROR(INDEX(Testes!$N$2:$N$500,MATCH(A516,Testes!$A$2:$A$500,0)),""))</f>
        <v/>
      </c>
      <c r="G516" s="8">
        <f>IF(F516="ocorrência","VP",IF(F516="sem ocorrência","FP",""))</f>
        <v/>
      </c>
      <c r="H516" s="7" t="n"/>
      <c r="I516" s="8">
        <f>IF(H516&lt;&gt;"",H516,G516)</f>
        <v/>
      </c>
    </row>
    <row r="517">
      <c r="A517" s="9" t="n"/>
      <c r="B517" s="9" t="n"/>
      <c r="C517" s="9" t="n"/>
      <c r="D517" s="9" t="n"/>
      <c r="E517" s="9" t="n"/>
      <c r="F517" s="8">
        <f>IF(A517="","",IFERROR(INDEX(Testes!$N$2:$N$500,MATCH(A517,Testes!$A$2:$A$500,0)),""))</f>
        <v/>
      </c>
      <c r="G517" s="8">
        <f>IF(F517="ocorrência","VP",IF(F517="sem ocorrência","FP",""))</f>
        <v/>
      </c>
      <c r="H517" s="7" t="n"/>
      <c r="I517" s="8">
        <f>IF(H517&lt;&gt;"",H517,G517)</f>
        <v/>
      </c>
    </row>
    <row r="518">
      <c r="A518" s="9" t="n"/>
      <c r="B518" s="9" t="n"/>
      <c r="C518" s="9" t="n"/>
      <c r="D518" s="9" t="n"/>
      <c r="E518" s="9" t="n"/>
      <c r="F518" s="8">
        <f>IF(A518="","",IFERROR(INDEX(Testes!$N$2:$N$500,MATCH(A518,Testes!$A$2:$A$500,0)),""))</f>
        <v/>
      </c>
      <c r="G518" s="8">
        <f>IF(F518="ocorrência","VP",IF(F518="sem ocorrência","FP",""))</f>
        <v/>
      </c>
      <c r="H518" s="7" t="n"/>
      <c r="I518" s="8">
        <f>IF(H518&lt;&gt;"",H518,G518)</f>
        <v/>
      </c>
    </row>
    <row r="519">
      <c r="A519" s="9" t="n"/>
      <c r="B519" s="9" t="n"/>
      <c r="C519" s="9" t="n"/>
      <c r="D519" s="9" t="n"/>
      <c r="E519" s="9" t="n"/>
      <c r="F519" s="8">
        <f>IF(A519="","",IFERROR(INDEX(Testes!$N$2:$N$500,MATCH(A519,Testes!$A$2:$A$500,0)),""))</f>
        <v/>
      </c>
      <c r="G519" s="8">
        <f>IF(F519="ocorrência","VP",IF(F519="sem ocorrência","FP",""))</f>
        <v/>
      </c>
      <c r="H519" s="7" t="n"/>
      <c r="I519" s="8">
        <f>IF(H519&lt;&gt;"",H519,G519)</f>
        <v/>
      </c>
    </row>
    <row r="520">
      <c r="A520" s="9" t="n"/>
      <c r="B520" s="9" t="n"/>
      <c r="C520" s="9" t="n"/>
      <c r="D520" s="9" t="n"/>
      <c r="E520" s="9" t="n"/>
      <c r="F520" s="8">
        <f>IF(A520="","",IFERROR(INDEX(Testes!$N$2:$N$500,MATCH(A520,Testes!$A$2:$A$500,0)),""))</f>
        <v/>
      </c>
      <c r="G520" s="8">
        <f>IF(F520="ocorrência","VP",IF(F520="sem ocorrência","FP",""))</f>
        <v/>
      </c>
      <c r="H520" s="7" t="n"/>
      <c r="I520" s="8">
        <f>IF(H520&lt;&gt;"",H520,G520)</f>
        <v/>
      </c>
    </row>
    <row r="521">
      <c r="A521" s="9" t="n"/>
      <c r="B521" s="9" t="n"/>
      <c r="C521" s="9" t="n"/>
      <c r="D521" s="9" t="n"/>
      <c r="E521" s="9" t="n"/>
      <c r="F521" s="8">
        <f>IF(A521="","",IFERROR(INDEX(Testes!$N$2:$N$500,MATCH(A521,Testes!$A$2:$A$500,0)),""))</f>
        <v/>
      </c>
      <c r="G521" s="8">
        <f>IF(F521="ocorrência","VP",IF(F521="sem ocorrência","FP",""))</f>
        <v/>
      </c>
      <c r="H521" s="7" t="n"/>
      <c r="I521" s="8">
        <f>IF(H521&lt;&gt;"",H521,G521)</f>
        <v/>
      </c>
    </row>
    <row r="522">
      <c r="A522" s="9" t="n"/>
      <c r="B522" s="9" t="n"/>
      <c r="C522" s="9" t="n"/>
      <c r="D522" s="9" t="n"/>
      <c r="E522" s="9" t="n"/>
      <c r="F522" s="8">
        <f>IF(A522="","",IFERROR(INDEX(Testes!$N$2:$N$500,MATCH(A522,Testes!$A$2:$A$500,0)),""))</f>
        <v/>
      </c>
      <c r="G522" s="8">
        <f>IF(F522="ocorrência","VP",IF(F522="sem ocorrência","FP",""))</f>
        <v/>
      </c>
      <c r="H522" s="7" t="n"/>
      <c r="I522" s="8">
        <f>IF(H522&lt;&gt;"",H522,G522)</f>
        <v/>
      </c>
    </row>
    <row r="523">
      <c r="A523" s="9" t="n"/>
      <c r="B523" s="9" t="n"/>
      <c r="C523" s="9" t="n"/>
      <c r="D523" s="9" t="n"/>
      <c r="E523" s="9" t="n"/>
      <c r="F523" s="8">
        <f>IF(A523="","",IFERROR(INDEX(Testes!$N$2:$N$500,MATCH(A523,Testes!$A$2:$A$500,0)),""))</f>
        <v/>
      </c>
      <c r="G523" s="8">
        <f>IF(F523="ocorrência","VP",IF(F523="sem ocorrência","FP",""))</f>
        <v/>
      </c>
      <c r="H523" s="7" t="n"/>
      <c r="I523" s="8">
        <f>IF(H523&lt;&gt;"",H523,G523)</f>
        <v/>
      </c>
    </row>
    <row r="524">
      <c r="A524" s="9" t="n"/>
      <c r="B524" s="9" t="n"/>
      <c r="C524" s="9" t="n"/>
      <c r="D524" s="9" t="n"/>
      <c r="E524" s="9" t="n"/>
      <c r="F524" s="8">
        <f>IF(A524="","",IFERROR(INDEX(Testes!$N$2:$N$500,MATCH(A524,Testes!$A$2:$A$500,0)),""))</f>
        <v/>
      </c>
      <c r="G524" s="8">
        <f>IF(F524="ocorrência","VP",IF(F524="sem ocorrência","FP",""))</f>
        <v/>
      </c>
      <c r="H524" s="7" t="n"/>
      <c r="I524" s="8">
        <f>IF(H524&lt;&gt;"",H524,G524)</f>
        <v/>
      </c>
    </row>
    <row r="525">
      <c r="A525" s="9" t="n"/>
      <c r="B525" s="9" t="n"/>
      <c r="C525" s="9" t="n"/>
      <c r="D525" s="9" t="n"/>
      <c r="E525" s="9" t="n"/>
      <c r="F525" s="8">
        <f>IF(A525="","",IFERROR(INDEX(Testes!$N$2:$N$500,MATCH(A525,Testes!$A$2:$A$500,0)),""))</f>
        <v/>
      </c>
      <c r="G525" s="8">
        <f>IF(F525="ocorrência","VP",IF(F525="sem ocorrência","FP",""))</f>
        <v/>
      </c>
      <c r="H525" s="7" t="n"/>
      <c r="I525" s="8">
        <f>IF(H525&lt;&gt;"",H525,G525)</f>
        <v/>
      </c>
    </row>
    <row r="526">
      <c r="A526" s="9" t="n"/>
      <c r="B526" s="9" t="n"/>
      <c r="C526" s="9" t="n"/>
      <c r="D526" s="9" t="n"/>
      <c r="E526" s="9" t="n"/>
      <c r="F526" s="8">
        <f>IF(A526="","",IFERROR(INDEX(Testes!$N$2:$N$500,MATCH(A526,Testes!$A$2:$A$500,0)),""))</f>
        <v/>
      </c>
      <c r="G526" s="8">
        <f>IF(F526="ocorrência","VP",IF(F526="sem ocorrência","FP",""))</f>
        <v/>
      </c>
      <c r="H526" s="7" t="n"/>
      <c r="I526" s="8">
        <f>IF(H526&lt;&gt;"",H526,G526)</f>
        <v/>
      </c>
    </row>
    <row r="527">
      <c r="A527" s="9" t="n"/>
      <c r="B527" s="9" t="n"/>
      <c r="C527" s="9" t="n"/>
      <c r="D527" s="9" t="n"/>
      <c r="E527" s="9" t="n"/>
      <c r="F527" s="8">
        <f>IF(A527="","",IFERROR(INDEX(Testes!$N$2:$N$500,MATCH(A527,Testes!$A$2:$A$500,0)),""))</f>
        <v/>
      </c>
      <c r="G527" s="8">
        <f>IF(F527="ocorrência","VP",IF(F527="sem ocorrência","FP",""))</f>
        <v/>
      </c>
      <c r="H527" s="7" t="n"/>
      <c r="I527" s="8">
        <f>IF(H527&lt;&gt;"",H527,G527)</f>
        <v/>
      </c>
    </row>
    <row r="528">
      <c r="A528" s="9" t="n"/>
      <c r="B528" s="9" t="n"/>
      <c r="C528" s="9" t="n"/>
      <c r="D528" s="9" t="n"/>
      <c r="E528" s="9" t="n"/>
      <c r="F528" s="8">
        <f>IF(A528="","",IFERROR(INDEX(Testes!$N$2:$N$500,MATCH(A528,Testes!$A$2:$A$500,0)),""))</f>
        <v/>
      </c>
      <c r="G528" s="8">
        <f>IF(F528="ocorrência","VP",IF(F528="sem ocorrência","FP",""))</f>
        <v/>
      </c>
      <c r="H528" s="7" t="n"/>
      <c r="I528" s="8">
        <f>IF(H528&lt;&gt;"",H528,G528)</f>
        <v/>
      </c>
    </row>
    <row r="529">
      <c r="A529" s="9" t="n"/>
      <c r="B529" s="9" t="n"/>
      <c r="C529" s="9" t="n"/>
      <c r="D529" s="9" t="n"/>
      <c r="E529" s="9" t="n"/>
      <c r="F529" s="8">
        <f>IF(A529="","",IFERROR(INDEX(Testes!$N$2:$N$500,MATCH(A529,Testes!$A$2:$A$500,0)),""))</f>
        <v/>
      </c>
      <c r="G529" s="8">
        <f>IF(F529="ocorrência","VP",IF(F529="sem ocorrência","FP",""))</f>
        <v/>
      </c>
      <c r="H529" s="7" t="n"/>
      <c r="I529" s="8">
        <f>IF(H529&lt;&gt;"",H529,G529)</f>
        <v/>
      </c>
    </row>
    <row r="530">
      <c r="A530" s="9" t="n"/>
      <c r="B530" s="9" t="n"/>
      <c r="C530" s="9" t="n"/>
      <c r="D530" s="9" t="n"/>
      <c r="E530" s="9" t="n"/>
      <c r="F530" s="8">
        <f>IF(A530="","",IFERROR(INDEX(Testes!$N$2:$N$500,MATCH(A530,Testes!$A$2:$A$500,0)),""))</f>
        <v/>
      </c>
      <c r="G530" s="8">
        <f>IF(F530="ocorrência","VP",IF(F530="sem ocorrência","FP",""))</f>
        <v/>
      </c>
      <c r="H530" s="7" t="n"/>
      <c r="I530" s="8">
        <f>IF(H530&lt;&gt;"",H530,G530)</f>
        <v/>
      </c>
    </row>
    <row r="531">
      <c r="A531" s="9" t="n"/>
      <c r="B531" s="9" t="n"/>
      <c r="C531" s="9" t="n"/>
      <c r="D531" s="9" t="n"/>
      <c r="E531" s="9" t="n"/>
      <c r="F531" s="8">
        <f>IF(A531="","",IFERROR(INDEX(Testes!$N$2:$N$500,MATCH(A531,Testes!$A$2:$A$500,0)),""))</f>
        <v/>
      </c>
      <c r="G531" s="8">
        <f>IF(F531="ocorrência","VP",IF(F531="sem ocorrência","FP",""))</f>
        <v/>
      </c>
      <c r="H531" s="7" t="n"/>
      <c r="I531" s="8">
        <f>IF(H531&lt;&gt;"",H531,G531)</f>
        <v/>
      </c>
    </row>
    <row r="532">
      <c r="A532" s="9" t="n"/>
      <c r="B532" s="9" t="n"/>
      <c r="C532" s="9" t="n"/>
      <c r="D532" s="9" t="n"/>
      <c r="E532" s="9" t="n"/>
      <c r="F532" s="8">
        <f>IF(A532="","",IFERROR(INDEX(Testes!$N$2:$N$500,MATCH(A532,Testes!$A$2:$A$500,0)),""))</f>
        <v/>
      </c>
      <c r="G532" s="8">
        <f>IF(F532="ocorrência","VP",IF(F532="sem ocorrência","FP",""))</f>
        <v/>
      </c>
      <c r="H532" s="7" t="n"/>
      <c r="I532" s="8">
        <f>IF(H532&lt;&gt;"",H532,G532)</f>
        <v/>
      </c>
    </row>
    <row r="533">
      <c r="A533" s="9" t="n"/>
      <c r="B533" s="9" t="n"/>
      <c r="C533" s="9" t="n"/>
      <c r="D533" s="9" t="n"/>
      <c r="E533" s="9" t="n"/>
      <c r="F533" s="8">
        <f>IF(A533="","",IFERROR(INDEX(Testes!$N$2:$N$500,MATCH(A533,Testes!$A$2:$A$500,0)),""))</f>
        <v/>
      </c>
      <c r="G533" s="8">
        <f>IF(F533="ocorrência","VP",IF(F533="sem ocorrência","FP",""))</f>
        <v/>
      </c>
      <c r="H533" s="7" t="n"/>
      <c r="I533" s="8">
        <f>IF(H533&lt;&gt;"",H533,G533)</f>
        <v/>
      </c>
    </row>
    <row r="534">
      <c r="A534" s="9" t="n"/>
      <c r="B534" s="9" t="n"/>
      <c r="C534" s="9" t="n"/>
      <c r="D534" s="9" t="n"/>
      <c r="E534" s="9" t="n"/>
      <c r="F534" s="8">
        <f>IF(A534="","",IFERROR(INDEX(Testes!$N$2:$N$500,MATCH(A534,Testes!$A$2:$A$500,0)),""))</f>
        <v/>
      </c>
      <c r="G534" s="8">
        <f>IF(F534="ocorrência","VP",IF(F534="sem ocorrência","FP",""))</f>
        <v/>
      </c>
      <c r="H534" s="7" t="n"/>
      <c r="I534" s="8">
        <f>IF(H534&lt;&gt;"",H534,G534)</f>
        <v/>
      </c>
    </row>
    <row r="535">
      <c r="A535" s="9" t="n"/>
      <c r="B535" s="9" t="n"/>
      <c r="C535" s="9" t="n"/>
      <c r="D535" s="9" t="n"/>
      <c r="E535" s="9" t="n"/>
      <c r="F535" s="8">
        <f>IF(A535="","",IFERROR(INDEX(Testes!$N$2:$N$500,MATCH(A535,Testes!$A$2:$A$500,0)),""))</f>
        <v/>
      </c>
      <c r="G535" s="8">
        <f>IF(F535="ocorrência","VP",IF(F535="sem ocorrência","FP",""))</f>
        <v/>
      </c>
      <c r="H535" s="7" t="n"/>
      <c r="I535" s="8">
        <f>IF(H535&lt;&gt;"",H535,G535)</f>
        <v/>
      </c>
    </row>
    <row r="536">
      <c r="A536" s="9" t="n"/>
      <c r="B536" s="9" t="n"/>
      <c r="C536" s="9" t="n"/>
      <c r="D536" s="9" t="n"/>
      <c r="E536" s="9" t="n"/>
      <c r="F536" s="8">
        <f>IF(A536="","",IFERROR(INDEX(Testes!$N$2:$N$500,MATCH(A536,Testes!$A$2:$A$500,0)),""))</f>
        <v/>
      </c>
      <c r="G536" s="8">
        <f>IF(F536="ocorrência","VP",IF(F536="sem ocorrência","FP",""))</f>
        <v/>
      </c>
      <c r="H536" s="7" t="n"/>
      <c r="I536" s="8">
        <f>IF(H536&lt;&gt;"",H536,G536)</f>
        <v/>
      </c>
    </row>
    <row r="537">
      <c r="A537" s="9" t="n"/>
      <c r="B537" s="9" t="n"/>
      <c r="C537" s="9" t="n"/>
      <c r="D537" s="9" t="n"/>
      <c r="E537" s="9" t="n"/>
      <c r="F537" s="8">
        <f>IF(A537="","",IFERROR(INDEX(Testes!$N$2:$N$500,MATCH(A537,Testes!$A$2:$A$500,0)),""))</f>
        <v/>
      </c>
      <c r="G537" s="8">
        <f>IF(F537="ocorrência","VP",IF(F537="sem ocorrência","FP",""))</f>
        <v/>
      </c>
      <c r="H537" s="7" t="n"/>
      <c r="I537" s="8">
        <f>IF(H537&lt;&gt;"",H537,G537)</f>
        <v/>
      </c>
    </row>
    <row r="538">
      <c r="A538" s="9" t="n"/>
      <c r="B538" s="9" t="n"/>
      <c r="C538" s="9" t="n"/>
      <c r="D538" s="9" t="n"/>
      <c r="E538" s="9" t="n"/>
      <c r="F538" s="8">
        <f>IF(A538="","",IFERROR(INDEX(Testes!$N$2:$N$500,MATCH(A538,Testes!$A$2:$A$500,0)),""))</f>
        <v/>
      </c>
      <c r="G538" s="8">
        <f>IF(F538="ocorrência","VP",IF(F538="sem ocorrência","FP",""))</f>
        <v/>
      </c>
      <c r="H538" s="7" t="n"/>
      <c r="I538" s="8">
        <f>IF(H538&lt;&gt;"",H538,G538)</f>
        <v/>
      </c>
    </row>
    <row r="539">
      <c r="A539" s="9" t="n"/>
      <c r="B539" s="9" t="n"/>
      <c r="C539" s="9" t="n"/>
      <c r="D539" s="9" t="n"/>
      <c r="E539" s="9" t="n"/>
      <c r="F539" s="8">
        <f>IF(A539="","",IFERROR(INDEX(Testes!$N$2:$N$500,MATCH(A539,Testes!$A$2:$A$500,0)),""))</f>
        <v/>
      </c>
      <c r="G539" s="8">
        <f>IF(F539="ocorrência","VP",IF(F539="sem ocorrência","FP",""))</f>
        <v/>
      </c>
      <c r="H539" s="7" t="n"/>
      <c r="I539" s="8">
        <f>IF(H539&lt;&gt;"",H539,G539)</f>
        <v/>
      </c>
    </row>
    <row r="540">
      <c r="A540" s="9" t="n"/>
      <c r="B540" s="9" t="n"/>
      <c r="C540" s="9" t="n"/>
      <c r="D540" s="9" t="n"/>
      <c r="E540" s="9" t="n"/>
      <c r="F540" s="8">
        <f>IF(A540="","",IFERROR(INDEX(Testes!$N$2:$N$500,MATCH(A540,Testes!$A$2:$A$500,0)),""))</f>
        <v/>
      </c>
      <c r="G540" s="8">
        <f>IF(F540="ocorrência","VP",IF(F540="sem ocorrência","FP",""))</f>
        <v/>
      </c>
      <c r="H540" s="7" t="n"/>
      <c r="I540" s="8">
        <f>IF(H540&lt;&gt;"",H540,G540)</f>
        <v/>
      </c>
    </row>
    <row r="541">
      <c r="A541" s="9" t="n"/>
      <c r="B541" s="9" t="n"/>
      <c r="C541" s="9" t="n"/>
      <c r="D541" s="9" t="n"/>
      <c r="E541" s="9" t="n"/>
      <c r="F541" s="8">
        <f>IF(A541="","",IFERROR(INDEX(Testes!$N$2:$N$500,MATCH(A541,Testes!$A$2:$A$500,0)),""))</f>
        <v/>
      </c>
      <c r="G541" s="8">
        <f>IF(F541="ocorrência","VP",IF(F541="sem ocorrência","FP",""))</f>
        <v/>
      </c>
      <c r="H541" s="7" t="n"/>
      <c r="I541" s="8">
        <f>IF(H541&lt;&gt;"",H541,G541)</f>
        <v/>
      </c>
    </row>
    <row r="542">
      <c r="A542" s="9" t="n"/>
      <c r="B542" s="9" t="n"/>
      <c r="C542" s="9" t="n"/>
      <c r="D542" s="9" t="n"/>
      <c r="E542" s="9" t="n"/>
      <c r="F542" s="8">
        <f>IF(A542="","",IFERROR(INDEX(Testes!$N$2:$N$500,MATCH(A542,Testes!$A$2:$A$500,0)),""))</f>
        <v/>
      </c>
      <c r="G542" s="8">
        <f>IF(F542="ocorrência","VP",IF(F542="sem ocorrência","FP",""))</f>
        <v/>
      </c>
      <c r="H542" s="7" t="n"/>
      <c r="I542" s="8">
        <f>IF(H542&lt;&gt;"",H542,G542)</f>
        <v/>
      </c>
    </row>
    <row r="543">
      <c r="A543" s="9" t="n"/>
      <c r="B543" s="9" t="n"/>
      <c r="C543" s="9" t="n"/>
      <c r="D543" s="9" t="n"/>
      <c r="E543" s="9" t="n"/>
      <c r="F543" s="8">
        <f>IF(A543="","",IFERROR(INDEX(Testes!$N$2:$N$500,MATCH(A543,Testes!$A$2:$A$500,0)),""))</f>
        <v/>
      </c>
      <c r="G543" s="8">
        <f>IF(F543="ocorrência","VP",IF(F543="sem ocorrência","FP",""))</f>
        <v/>
      </c>
      <c r="H543" s="7" t="n"/>
      <c r="I543" s="8">
        <f>IF(H543&lt;&gt;"",H543,G543)</f>
        <v/>
      </c>
    </row>
    <row r="544">
      <c r="A544" s="9" t="n"/>
      <c r="B544" s="9" t="n"/>
      <c r="C544" s="9" t="n"/>
      <c r="D544" s="9" t="n"/>
      <c r="E544" s="9" t="n"/>
      <c r="F544" s="8">
        <f>IF(A544="","",IFERROR(INDEX(Testes!$N$2:$N$500,MATCH(A544,Testes!$A$2:$A$500,0)),""))</f>
        <v/>
      </c>
      <c r="G544" s="8">
        <f>IF(F544="ocorrência","VP",IF(F544="sem ocorrência","FP",""))</f>
        <v/>
      </c>
      <c r="H544" s="7" t="n"/>
      <c r="I544" s="8">
        <f>IF(H544&lt;&gt;"",H544,G544)</f>
        <v/>
      </c>
    </row>
    <row r="545">
      <c r="A545" s="9" t="n"/>
      <c r="B545" s="9" t="n"/>
      <c r="C545" s="9" t="n"/>
      <c r="D545" s="9" t="n"/>
      <c r="E545" s="9" t="n"/>
      <c r="F545" s="8">
        <f>IF(A545="","",IFERROR(INDEX(Testes!$N$2:$N$500,MATCH(A545,Testes!$A$2:$A$500,0)),""))</f>
        <v/>
      </c>
      <c r="G545" s="8">
        <f>IF(F545="ocorrência","VP",IF(F545="sem ocorrência","FP",""))</f>
        <v/>
      </c>
      <c r="H545" s="7" t="n"/>
      <c r="I545" s="8">
        <f>IF(H545&lt;&gt;"",H545,G545)</f>
        <v/>
      </c>
    </row>
    <row r="546">
      <c r="A546" s="9" t="n"/>
      <c r="B546" s="9" t="n"/>
      <c r="C546" s="9" t="n"/>
      <c r="D546" s="9" t="n"/>
      <c r="E546" s="9" t="n"/>
      <c r="F546" s="8">
        <f>IF(A546="","",IFERROR(INDEX(Testes!$N$2:$N$500,MATCH(A546,Testes!$A$2:$A$500,0)),""))</f>
        <v/>
      </c>
      <c r="G546" s="8">
        <f>IF(F546="ocorrência","VP",IF(F546="sem ocorrência","FP",""))</f>
        <v/>
      </c>
      <c r="H546" s="7" t="n"/>
      <c r="I546" s="8">
        <f>IF(H546&lt;&gt;"",H546,G546)</f>
        <v/>
      </c>
    </row>
    <row r="547">
      <c r="A547" s="9" t="n"/>
      <c r="B547" s="9" t="n"/>
      <c r="C547" s="9" t="n"/>
      <c r="D547" s="9" t="n"/>
      <c r="E547" s="9" t="n"/>
      <c r="F547" s="8">
        <f>IF(A547="","",IFERROR(INDEX(Testes!$N$2:$N$500,MATCH(A547,Testes!$A$2:$A$500,0)),""))</f>
        <v/>
      </c>
      <c r="G547" s="8">
        <f>IF(F547="ocorrência","VP",IF(F547="sem ocorrência","FP",""))</f>
        <v/>
      </c>
      <c r="H547" s="7" t="n"/>
      <c r="I547" s="8">
        <f>IF(H547&lt;&gt;"",H547,G547)</f>
        <v/>
      </c>
    </row>
    <row r="548">
      <c r="A548" s="9" t="n"/>
      <c r="B548" s="9" t="n"/>
      <c r="C548" s="9" t="n"/>
      <c r="D548" s="9" t="n"/>
      <c r="E548" s="9" t="n"/>
      <c r="F548" s="8">
        <f>IF(A548="","",IFERROR(INDEX(Testes!$N$2:$N$500,MATCH(A548,Testes!$A$2:$A$500,0)),""))</f>
        <v/>
      </c>
      <c r="G548" s="8">
        <f>IF(F548="ocorrência","VP",IF(F548="sem ocorrência","FP",""))</f>
        <v/>
      </c>
      <c r="H548" s="7" t="n"/>
      <c r="I548" s="8">
        <f>IF(H548&lt;&gt;"",H548,G548)</f>
        <v/>
      </c>
    </row>
    <row r="549">
      <c r="A549" s="9" t="n"/>
      <c r="B549" s="9" t="n"/>
      <c r="C549" s="9" t="n"/>
      <c r="D549" s="9" t="n"/>
      <c r="E549" s="9" t="n"/>
      <c r="F549" s="8">
        <f>IF(A549="","",IFERROR(INDEX(Testes!$N$2:$N$500,MATCH(A549,Testes!$A$2:$A$500,0)),""))</f>
        <v/>
      </c>
      <c r="G549" s="8">
        <f>IF(F549="ocorrência","VP",IF(F549="sem ocorrência","FP",""))</f>
        <v/>
      </c>
      <c r="H549" s="7" t="n"/>
      <c r="I549" s="8">
        <f>IF(H549&lt;&gt;"",H549,G549)</f>
        <v/>
      </c>
    </row>
    <row r="550">
      <c r="A550" s="9" t="n"/>
      <c r="B550" s="9" t="n"/>
      <c r="C550" s="9" t="n"/>
      <c r="D550" s="9" t="n"/>
      <c r="E550" s="9" t="n"/>
      <c r="F550" s="8">
        <f>IF(A550="","",IFERROR(INDEX(Testes!$N$2:$N$500,MATCH(A550,Testes!$A$2:$A$500,0)),""))</f>
        <v/>
      </c>
      <c r="G550" s="8">
        <f>IF(F550="ocorrência","VP",IF(F550="sem ocorrência","FP",""))</f>
        <v/>
      </c>
      <c r="H550" s="7" t="n"/>
      <c r="I550" s="8">
        <f>IF(H550&lt;&gt;"",H550,G550)</f>
        <v/>
      </c>
    </row>
    <row r="551">
      <c r="A551" s="9" t="n"/>
      <c r="B551" s="9" t="n"/>
      <c r="C551" s="9" t="n"/>
      <c r="D551" s="9" t="n"/>
      <c r="E551" s="9" t="n"/>
      <c r="F551" s="8">
        <f>IF(A551="","",IFERROR(INDEX(Testes!$N$2:$N$500,MATCH(A551,Testes!$A$2:$A$500,0)),""))</f>
        <v/>
      </c>
      <c r="G551" s="8">
        <f>IF(F551="ocorrência","VP",IF(F551="sem ocorrência","FP",""))</f>
        <v/>
      </c>
      <c r="H551" s="7" t="n"/>
      <c r="I551" s="8">
        <f>IF(H551&lt;&gt;"",H551,G551)</f>
        <v/>
      </c>
    </row>
    <row r="552">
      <c r="A552" s="9" t="n"/>
      <c r="B552" s="9" t="n"/>
      <c r="C552" s="9" t="n"/>
      <c r="D552" s="9" t="n"/>
      <c r="E552" s="9" t="n"/>
      <c r="F552" s="8">
        <f>IF(A552="","",IFERROR(INDEX(Testes!$N$2:$N$500,MATCH(A552,Testes!$A$2:$A$500,0)),""))</f>
        <v/>
      </c>
      <c r="G552" s="8">
        <f>IF(F552="ocorrência","VP",IF(F552="sem ocorrência","FP",""))</f>
        <v/>
      </c>
      <c r="H552" s="7" t="n"/>
      <c r="I552" s="8">
        <f>IF(H552&lt;&gt;"",H552,G552)</f>
        <v/>
      </c>
    </row>
    <row r="553">
      <c r="A553" s="9" t="n"/>
      <c r="B553" s="9" t="n"/>
      <c r="C553" s="9" t="n"/>
      <c r="D553" s="9" t="n"/>
      <c r="E553" s="9" t="n"/>
      <c r="F553" s="8">
        <f>IF(A553="","",IFERROR(INDEX(Testes!$N$2:$N$500,MATCH(A553,Testes!$A$2:$A$500,0)),""))</f>
        <v/>
      </c>
      <c r="G553" s="8">
        <f>IF(F553="ocorrência","VP",IF(F553="sem ocorrência","FP",""))</f>
        <v/>
      </c>
      <c r="H553" s="7" t="n"/>
      <c r="I553" s="8">
        <f>IF(H553&lt;&gt;"",H553,G553)</f>
        <v/>
      </c>
    </row>
    <row r="554">
      <c r="A554" s="9" t="n"/>
      <c r="B554" s="9" t="n"/>
      <c r="C554" s="9" t="n"/>
      <c r="D554" s="9" t="n"/>
      <c r="E554" s="9" t="n"/>
      <c r="F554" s="8">
        <f>IF(A554="","",IFERROR(INDEX(Testes!$N$2:$N$500,MATCH(A554,Testes!$A$2:$A$500,0)),""))</f>
        <v/>
      </c>
      <c r="G554" s="8">
        <f>IF(F554="ocorrência","VP",IF(F554="sem ocorrência","FP",""))</f>
        <v/>
      </c>
      <c r="H554" s="7" t="n"/>
      <c r="I554" s="8">
        <f>IF(H554&lt;&gt;"",H554,G554)</f>
        <v/>
      </c>
    </row>
    <row r="555">
      <c r="A555" s="9" t="n"/>
      <c r="B555" s="9" t="n"/>
      <c r="C555" s="9" t="n"/>
      <c r="D555" s="9" t="n"/>
      <c r="E555" s="9" t="n"/>
      <c r="F555" s="8">
        <f>IF(A555="","",IFERROR(INDEX(Testes!$N$2:$N$500,MATCH(A555,Testes!$A$2:$A$500,0)),""))</f>
        <v/>
      </c>
      <c r="G555" s="8">
        <f>IF(F555="ocorrência","VP",IF(F555="sem ocorrência","FP",""))</f>
        <v/>
      </c>
      <c r="H555" s="7" t="n"/>
      <c r="I555" s="8">
        <f>IF(H555&lt;&gt;"",H555,G555)</f>
        <v/>
      </c>
    </row>
    <row r="556">
      <c r="A556" s="9" t="n"/>
      <c r="B556" s="9" t="n"/>
      <c r="C556" s="9" t="n"/>
      <c r="D556" s="9" t="n"/>
      <c r="E556" s="9" t="n"/>
      <c r="F556" s="8">
        <f>IF(A556="","",IFERROR(INDEX(Testes!$N$2:$N$500,MATCH(A556,Testes!$A$2:$A$500,0)),""))</f>
        <v/>
      </c>
      <c r="G556" s="8">
        <f>IF(F556="ocorrência","VP",IF(F556="sem ocorrência","FP",""))</f>
        <v/>
      </c>
      <c r="H556" s="7" t="n"/>
      <c r="I556" s="8">
        <f>IF(H556&lt;&gt;"",H556,G556)</f>
        <v/>
      </c>
    </row>
    <row r="557">
      <c r="A557" s="9" t="n"/>
      <c r="B557" s="9" t="n"/>
      <c r="C557" s="9" t="n"/>
      <c r="D557" s="9" t="n"/>
      <c r="E557" s="9" t="n"/>
      <c r="F557" s="8">
        <f>IF(A557="","",IFERROR(INDEX(Testes!$N$2:$N$500,MATCH(A557,Testes!$A$2:$A$500,0)),""))</f>
        <v/>
      </c>
      <c r="G557" s="8">
        <f>IF(F557="ocorrência","VP",IF(F557="sem ocorrência","FP",""))</f>
        <v/>
      </c>
      <c r="H557" s="7" t="n"/>
      <c r="I557" s="8">
        <f>IF(H557&lt;&gt;"",H557,G557)</f>
        <v/>
      </c>
    </row>
    <row r="558">
      <c r="A558" s="9" t="n"/>
      <c r="B558" s="9" t="n"/>
      <c r="C558" s="9" t="n"/>
      <c r="D558" s="9" t="n"/>
      <c r="E558" s="9" t="n"/>
      <c r="F558" s="8">
        <f>IF(A558="","",IFERROR(INDEX(Testes!$N$2:$N$500,MATCH(A558,Testes!$A$2:$A$500,0)),""))</f>
        <v/>
      </c>
      <c r="G558" s="8">
        <f>IF(F558="ocorrência","VP",IF(F558="sem ocorrência","FP",""))</f>
        <v/>
      </c>
      <c r="H558" s="7" t="n"/>
      <c r="I558" s="8">
        <f>IF(H558&lt;&gt;"",H558,G558)</f>
        <v/>
      </c>
    </row>
    <row r="559">
      <c r="A559" s="9" t="n"/>
      <c r="B559" s="9" t="n"/>
      <c r="C559" s="9" t="n"/>
      <c r="D559" s="9" t="n"/>
      <c r="E559" s="9" t="n"/>
      <c r="F559" s="8">
        <f>IF(A559="","",IFERROR(INDEX(Testes!$N$2:$N$500,MATCH(A559,Testes!$A$2:$A$500,0)),""))</f>
        <v/>
      </c>
      <c r="G559" s="8">
        <f>IF(F559="ocorrência","VP",IF(F559="sem ocorrência","FP",""))</f>
        <v/>
      </c>
      <c r="H559" s="7" t="n"/>
      <c r="I559" s="8">
        <f>IF(H559&lt;&gt;"",H559,G559)</f>
        <v/>
      </c>
    </row>
    <row r="560">
      <c r="A560" s="9" t="n"/>
      <c r="B560" s="9" t="n"/>
      <c r="C560" s="9" t="n"/>
      <c r="D560" s="9" t="n"/>
      <c r="E560" s="9" t="n"/>
      <c r="F560" s="8">
        <f>IF(A560="","",IFERROR(INDEX(Testes!$N$2:$N$500,MATCH(A560,Testes!$A$2:$A$500,0)),""))</f>
        <v/>
      </c>
      <c r="G560" s="8">
        <f>IF(F560="ocorrência","VP",IF(F560="sem ocorrência","FP",""))</f>
        <v/>
      </c>
      <c r="H560" s="7" t="n"/>
      <c r="I560" s="8">
        <f>IF(H560&lt;&gt;"",H560,G560)</f>
        <v/>
      </c>
    </row>
    <row r="561">
      <c r="A561" s="9" t="n"/>
      <c r="B561" s="9" t="n"/>
      <c r="C561" s="9" t="n"/>
      <c r="D561" s="9" t="n"/>
      <c r="E561" s="9" t="n"/>
      <c r="F561" s="8">
        <f>IF(A561="","",IFERROR(INDEX(Testes!$N$2:$N$500,MATCH(A561,Testes!$A$2:$A$500,0)),""))</f>
        <v/>
      </c>
      <c r="G561" s="8">
        <f>IF(F561="ocorrência","VP",IF(F561="sem ocorrência","FP",""))</f>
        <v/>
      </c>
      <c r="H561" s="7" t="n"/>
      <c r="I561" s="8">
        <f>IF(H561&lt;&gt;"",H561,G561)</f>
        <v/>
      </c>
    </row>
    <row r="562">
      <c r="A562" s="9" t="n"/>
      <c r="B562" s="9" t="n"/>
      <c r="C562" s="9" t="n"/>
      <c r="D562" s="9" t="n"/>
      <c r="E562" s="9" t="n"/>
      <c r="F562" s="8">
        <f>IF(A562="","",IFERROR(INDEX(Testes!$N$2:$N$500,MATCH(A562,Testes!$A$2:$A$500,0)),""))</f>
        <v/>
      </c>
      <c r="G562" s="8">
        <f>IF(F562="ocorrência","VP",IF(F562="sem ocorrência","FP",""))</f>
        <v/>
      </c>
      <c r="H562" s="7" t="n"/>
      <c r="I562" s="8">
        <f>IF(H562&lt;&gt;"",H562,G562)</f>
        <v/>
      </c>
    </row>
    <row r="563">
      <c r="A563" s="9" t="n"/>
      <c r="B563" s="9" t="n"/>
      <c r="C563" s="9" t="n"/>
      <c r="D563" s="9" t="n"/>
      <c r="E563" s="9" t="n"/>
      <c r="F563" s="8">
        <f>IF(A563="","",IFERROR(INDEX(Testes!$N$2:$N$500,MATCH(A563,Testes!$A$2:$A$500,0)),""))</f>
        <v/>
      </c>
      <c r="G563" s="8">
        <f>IF(F563="ocorrência","VP",IF(F563="sem ocorrência","FP",""))</f>
        <v/>
      </c>
      <c r="H563" s="7" t="n"/>
      <c r="I563" s="8">
        <f>IF(H563&lt;&gt;"",H563,G563)</f>
        <v/>
      </c>
    </row>
    <row r="564">
      <c r="A564" s="9" t="n"/>
      <c r="B564" s="9" t="n"/>
      <c r="C564" s="9" t="n"/>
      <c r="D564" s="9" t="n"/>
      <c r="E564" s="9" t="n"/>
      <c r="F564" s="8">
        <f>IF(A564="","",IFERROR(INDEX(Testes!$N$2:$N$500,MATCH(A564,Testes!$A$2:$A$500,0)),""))</f>
        <v/>
      </c>
      <c r="G564" s="8">
        <f>IF(F564="ocorrência","VP",IF(F564="sem ocorrência","FP",""))</f>
        <v/>
      </c>
      <c r="H564" s="7" t="n"/>
      <c r="I564" s="8">
        <f>IF(H564&lt;&gt;"",H564,G564)</f>
        <v/>
      </c>
    </row>
    <row r="565">
      <c r="A565" s="9" t="n"/>
      <c r="B565" s="9" t="n"/>
      <c r="C565" s="9" t="n"/>
      <c r="D565" s="9" t="n"/>
      <c r="E565" s="9" t="n"/>
      <c r="F565" s="8">
        <f>IF(A565="","",IFERROR(INDEX(Testes!$N$2:$N$500,MATCH(A565,Testes!$A$2:$A$500,0)),""))</f>
        <v/>
      </c>
      <c r="G565" s="8">
        <f>IF(F565="ocorrência","VP",IF(F565="sem ocorrência","FP",""))</f>
        <v/>
      </c>
      <c r="H565" s="7" t="n"/>
      <c r="I565" s="8">
        <f>IF(H565&lt;&gt;"",H565,G565)</f>
        <v/>
      </c>
    </row>
    <row r="566">
      <c r="A566" s="9" t="n"/>
      <c r="B566" s="9" t="n"/>
      <c r="C566" s="9" t="n"/>
      <c r="D566" s="9" t="n"/>
      <c r="E566" s="9" t="n"/>
      <c r="F566" s="8">
        <f>IF(A566="","",IFERROR(INDEX(Testes!$N$2:$N$500,MATCH(A566,Testes!$A$2:$A$500,0)),""))</f>
        <v/>
      </c>
      <c r="G566" s="8">
        <f>IF(F566="ocorrência","VP",IF(F566="sem ocorrência","FP",""))</f>
        <v/>
      </c>
      <c r="H566" s="7" t="n"/>
      <c r="I566" s="8">
        <f>IF(H566&lt;&gt;"",H566,G566)</f>
        <v/>
      </c>
    </row>
    <row r="567">
      <c r="A567" s="9" t="n"/>
      <c r="B567" s="9" t="n"/>
      <c r="C567" s="9" t="n"/>
      <c r="D567" s="9" t="n"/>
      <c r="E567" s="9" t="n"/>
      <c r="F567" s="8">
        <f>IF(A567="","",IFERROR(INDEX(Testes!$N$2:$N$500,MATCH(A567,Testes!$A$2:$A$500,0)),""))</f>
        <v/>
      </c>
      <c r="G567" s="8">
        <f>IF(F567="ocorrência","VP",IF(F567="sem ocorrência","FP",""))</f>
        <v/>
      </c>
      <c r="H567" s="7" t="n"/>
      <c r="I567" s="8">
        <f>IF(H567&lt;&gt;"",H567,G567)</f>
        <v/>
      </c>
    </row>
    <row r="568">
      <c r="A568" s="9" t="n"/>
      <c r="B568" s="9" t="n"/>
      <c r="C568" s="9" t="n"/>
      <c r="D568" s="9" t="n"/>
      <c r="E568" s="9" t="n"/>
      <c r="F568" s="8">
        <f>IF(A568="","",IFERROR(INDEX(Testes!$N$2:$N$500,MATCH(A568,Testes!$A$2:$A$500,0)),""))</f>
        <v/>
      </c>
      <c r="G568" s="8">
        <f>IF(F568="ocorrência","VP",IF(F568="sem ocorrência","FP",""))</f>
        <v/>
      </c>
      <c r="H568" s="7" t="n"/>
      <c r="I568" s="8">
        <f>IF(H568&lt;&gt;"",H568,G568)</f>
        <v/>
      </c>
    </row>
    <row r="569">
      <c r="A569" s="9" t="n"/>
      <c r="B569" s="9" t="n"/>
      <c r="C569" s="9" t="n"/>
      <c r="D569" s="9" t="n"/>
      <c r="E569" s="9" t="n"/>
      <c r="F569" s="8">
        <f>IF(A569="","",IFERROR(INDEX(Testes!$N$2:$N$500,MATCH(A569,Testes!$A$2:$A$500,0)),""))</f>
        <v/>
      </c>
      <c r="G569" s="8">
        <f>IF(F569="ocorrência","VP",IF(F569="sem ocorrência","FP",""))</f>
        <v/>
      </c>
      <c r="H569" s="7" t="n"/>
      <c r="I569" s="8">
        <f>IF(H569&lt;&gt;"",H569,G569)</f>
        <v/>
      </c>
    </row>
    <row r="570">
      <c r="A570" s="9" t="n"/>
      <c r="B570" s="9" t="n"/>
      <c r="C570" s="9" t="n"/>
      <c r="D570" s="9" t="n"/>
      <c r="E570" s="9" t="n"/>
      <c r="F570" s="8">
        <f>IF(A570="","",IFERROR(INDEX(Testes!$N$2:$N$500,MATCH(A570,Testes!$A$2:$A$500,0)),""))</f>
        <v/>
      </c>
      <c r="G570" s="8">
        <f>IF(F570="ocorrência","VP",IF(F570="sem ocorrência","FP",""))</f>
        <v/>
      </c>
      <c r="H570" s="7" t="n"/>
      <c r="I570" s="8">
        <f>IF(H570&lt;&gt;"",H570,G570)</f>
        <v/>
      </c>
    </row>
    <row r="571">
      <c r="A571" s="9" t="n"/>
      <c r="B571" s="9" t="n"/>
      <c r="C571" s="9" t="n"/>
      <c r="D571" s="9" t="n"/>
      <c r="E571" s="9" t="n"/>
      <c r="F571" s="8">
        <f>IF(A571="","",IFERROR(INDEX(Testes!$N$2:$N$500,MATCH(A571,Testes!$A$2:$A$500,0)),""))</f>
        <v/>
      </c>
      <c r="G571" s="8">
        <f>IF(F571="ocorrência","VP",IF(F571="sem ocorrência","FP",""))</f>
        <v/>
      </c>
      <c r="H571" s="7" t="n"/>
      <c r="I571" s="8">
        <f>IF(H571&lt;&gt;"",H571,G571)</f>
        <v/>
      </c>
    </row>
    <row r="572">
      <c r="A572" s="9" t="n"/>
      <c r="B572" s="9" t="n"/>
      <c r="C572" s="9" t="n"/>
      <c r="D572" s="9" t="n"/>
      <c r="E572" s="9" t="n"/>
      <c r="F572" s="8">
        <f>IF(A572="","",IFERROR(INDEX(Testes!$N$2:$N$500,MATCH(A572,Testes!$A$2:$A$500,0)),""))</f>
        <v/>
      </c>
      <c r="G572" s="8">
        <f>IF(F572="ocorrência","VP",IF(F572="sem ocorrência","FP",""))</f>
        <v/>
      </c>
      <c r="H572" s="7" t="n"/>
      <c r="I572" s="8">
        <f>IF(H572&lt;&gt;"",H572,G572)</f>
        <v/>
      </c>
    </row>
    <row r="573">
      <c r="A573" s="9" t="n"/>
      <c r="B573" s="9" t="n"/>
      <c r="C573" s="9" t="n"/>
      <c r="D573" s="9" t="n"/>
      <c r="E573" s="9" t="n"/>
      <c r="F573" s="8">
        <f>IF(A573="","",IFERROR(INDEX(Testes!$N$2:$N$500,MATCH(A573,Testes!$A$2:$A$500,0)),""))</f>
        <v/>
      </c>
      <c r="G573" s="8">
        <f>IF(F573="ocorrência","VP",IF(F573="sem ocorrência","FP",""))</f>
        <v/>
      </c>
      <c r="H573" s="7" t="n"/>
      <c r="I573" s="8">
        <f>IF(H573&lt;&gt;"",H573,G573)</f>
        <v/>
      </c>
    </row>
    <row r="574">
      <c r="A574" s="9" t="n"/>
      <c r="B574" s="9" t="n"/>
      <c r="C574" s="9" t="n"/>
      <c r="D574" s="9" t="n"/>
      <c r="E574" s="9" t="n"/>
      <c r="F574" s="8">
        <f>IF(A574="","",IFERROR(INDEX(Testes!$N$2:$N$500,MATCH(A574,Testes!$A$2:$A$500,0)),""))</f>
        <v/>
      </c>
      <c r="G574" s="8">
        <f>IF(F574="ocorrência","VP",IF(F574="sem ocorrência","FP",""))</f>
        <v/>
      </c>
      <c r="H574" s="7" t="n"/>
      <c r="I574" s="8">
        <f>IF(H574&lt;&gt;"",H574,G574)</f>
        <v/>
      </c>
    </row>
    <row r="575">
      <c r="A575" s="9" t="n"/>
      <c r="B575" s="9" t="n"/>
      <c r="C575" s="9" t="n"/>
      <c r="D575" s="9" t="n"/>
      <c r="E575" s="9" t="n"/>
      <c r="F575" s="8">
        <f>IF(A575="","",IFERROR(INDEX(Testes!$N$2:$N$500,MATCH(A575,Testes!$A$2:$A$500,0)),""))</f>
        <v/>
      </c>
      <c r="G575" s="8">
        <f>IF(F575="ocorrência","VP",IF(F575="sem ocorrência","FP",""))</f>
        <v/>
      </c>
      <c r="H575" s="7" t="n"/>
      <c r="I575" s="8">
        <f>IF(H575&lt;&gt;"",H575,G575)</f>
        <v/>
      </c>
    </row>
    <row r="576">
      <c r="A576" s="9" t="n"/>
      <c r="B576" s="9" t="n"/>
      <c r="C576" s="9" t="n"/>
      <c r="D576" s="9" t="n"/>
      <c r="E576" s="9" t="n"/>
      <c r="F576" s="8">
        <f>IF(A576="","",IFERROR(INDEX(Testes!$N$2:$N$500,MATCH(A576,Testes!$A$2:$A$500,0)),""))</f>
        <v/>
      </c>
      <c r="G576" s="8">
        <f>IF(F576="ocorrência","VP",IF(F576="sem ocorrência","FP",""))</f>
        <v/>
      </c>
      <c r="H576" s="7" t="n"/>
      <c r="I576" s="8">
        <f>IF(H576&lt;&gt;"",H576,G576)</f>
        <v/>
      </c>
    </row>
    <row r="577">
      <c r="A577" s="9" t="n"/>
      <c r="B577" s="9" t="n"/>
      <c r="C577" s="9" t="n"/>
      <c r="D577" s="9" t="n"/>
      <c r="E577" s="9" t="n"/>
      <c r="F577" s="8">
        <f>IF(A577="","",IFERROR(INDEX(Testes!$N$2:$N$500,MATCH(A577,Testes!$A$2:$A$500,0)),""))</f>
        <v/>
      </c>
      <c r="G577" s="8">
        <f>IF(F577="ocorrência","VP",IF(F577="sem ocorrência","FP",""))</f>
        <v/>
      </c>
      <c r="H577" s="7" t="n"/>
      <c r="I577" s="8">
        <f>IF(H577&lt;&gt;"",H577,G577)</f>
        <v/>
      </c>
    </row>
    <row r="578">
      <c r="A578" s="9" t="n"/>
      <c r="B578" s="9" t="n"/>
      <c r="C578" s="9" t="n"/>
      <c r="D578" s="9" t="n"/>
      <c r="E578" s="9" t="n"/>
      <c r="F578" s="8">
        <f>IF(A578="","",IFERROR(INDEX(Testes!$N$2:$N$500,MATCH(A578,Testes!$A$2:$A$500,0)),""))</f>
        <v/>
      </c>
      <c r="G578" s="8">
        <f>IF(F578="ocorrência","VP",IF(F578="sem ocorrência","FP",""))</f>
        <v/>
      </c>
      <c r="H578" s="7" t="n"/>
      <c r="I578" s="8">
        <f>IF(H578&lt;&gt;"",H578,G578)</f>
        <v/>
      </c>
    </row>
    <row r="579">
      <c r="A579" s="9" t="n"/>
      <c r="B579" s="9" t="n"/>
      <c r="C579" s="9" t="n"/>
      <c r="D579" s="9" t="n"/>
      <c r="E579" s="9" t="n"/>
      <c r="F579" s="8">
        <f>IF(A579="","",IFERROR(INDEX(Testes!$N$2:$N$500,MATCH(A579,Testes!$A$2:$A$500,0)),""))</f>
        <v/>
      </c>
      <c r="G579" s="8">
        <f>IF(F579="ocorrência","VP",IF(F579="sem ocorrência","FP",""))</f>
        <v/>
      </c>
      <c r="H579" s="7" t="n"/>
      <c r="I579" s="8">
        <f>IF(H579&lt;&gt;"",H579,G579)</f>
        <v/>
      </c>
    </row>
    <row r="580">
      <c r="A580" s="9" t="n"/>
      <c r="B580" s="9" t="n"/>
      <c r="C580" s="9" t="n"/>
      <c r="D580" s="9" t="n"/>
      <c r="E580" s="9" t="n"/>
      <c r="F580" s="8">
        <f>IF(A580="","",IFERROR(INDEX(Testes!$N$2:$N$500,MATCH(A580,Testes!$A$2:$A$500,0)),""))</f>
        <v/>
      </c>
      <c r="G580" s="8">
        <f>IF(F580="ocorrência","VP",IF(F580="sem ocorrência","FP",""))</f>
        <v/>
      </c>
      <c r="H580" s="7" t="n"/>
      <c r="I580" s="8">
        <f>IF(H580&lt;&gt;"",H580,G580)</f>
        <v/>
      </c>
    </row>
    <row r="581">
      <c r="A581" s="9" t="n"/>
      <c r="B581" s="9" t="n"/>
      <c r="C581" s="9" t="n"/>
      <c r="D581" s="9" t="n"/>
      <c r="E581" s="9" t="n"/>
      <c r="F581" s="8">
        <f>IF(A581="","",IFERROR(INDEX(Testes!$N$2:$N$500,MATCH(A581,Testes!$A$2:$A$500,0)),""))</f>
        <v/>
      </c>
      <c r="G581" s="8">
        <f>IF(F581="ocorrência","VP",IF(F581="sem ocorrência","FP",""))</f>
        <v/>
      </c>
      <c r="H581" s="7" t="n"/>
      <c r="I581" s="8">
        <f>IF(H581&lt;&gt;"",H581,G581)</f>
        <v/>
      </c>
    </row>
    <row r="582">
      <c r="A582" s="9" t="n"/>
      <c r="B582" s="9" t="n"/>
      <c r="C582" s="9" t="n"/>
      <c r="D582" s="9" t="n"/>
      <c r="E582" s="9" t="n"/>
      <c r="F582" s="8">
        <f>IF(A582="","",IFERROR(INDEX(Testes!$N$2:$N$500,MATCH(A582,Testes!$A$2:$A$500,0)),""))</f>
        <v/>
      </c>
      <c r="G582" s="8">
        <f>IF(F582="ocorrência","VP",IF(F582="sem ocorrência","FP",""))</f>
        <v/>
      </c>
      <c r="H582" s="7" t="n"/>
      <c r="I582" s="8">
        <f>IF(H582&lt;&gt;"",H582,G582)</f>
        <v/>
      </c>
    </row>
    <row r="583">
      <c r="A583" s="9" t="n"/>
      <c r="B583" s="9" t="n"/>
      <c r="C583" s="9" t="n"/>
      <c r="D583" s="9" t="n"/>
      <c r="E583" s="9" t="n"/>
      <c r="F583" s="8">
        <f>IF(A583="","",IFERROR(INDEX(Testes!$N$2:$N$500,MATCH(A583,Testes!$A$2:$A$500,0)),""))</f>
        <v/>
      </c>
      <c r="G583" s="8">
        <f>IF(F583="ocorrência","VP",IF(F583="sem ocorrência","FP",""))</f>
        <v/>
      </c>
      <c r="H583" s="7" t="n"/>
      <c r="I583" s="8">
        <f>IF(H583&lt;&gt;"",H583,G583)</f>
        <v/>
      </c>
    </row>
    <row r="584">
      <c r="A584" s="9" t="n"/>
      <c r="B584" s="9" t="n"/>
      <c r="C584" s="9" t="n"/>
      <c r="D584" s="9" t="n"/>
      <c r="E584" s="9" t="n"/>
      <c r="F584" s="8">
        <f>IF(A584="","",IFERROR(INDEX(Testes!$N$2:$N$500,MATCH(A584,Testes!$A$2:$A$500,0)),""))</f>
        <v/>
      </c>
      <c r="G584" s="8">
        <f>IF(F584="ocorrência","VP",IF(F584="sem ocorrência","FP",""))</f>
        <v/>
      </c>
      <c r="H584" s="7" t="n"/>
      <c r="I584" s="8">
        <f>IF(H584&lt;&gt;"",H584,G584)</f>
        <v/>
      </c>
    </row>
    <row r="585">
      <c r="A585" s="9" t="n"/>
      <c r="B585" s="9" t="n"/>
      <c r="C585" s="9" t="n"/>
      <c r="D585" s="9" t="n"/>
      <c r="E585" s="9" t="n"/>
      <c r="F585" s="8">
        <f>IF(A585="","",IFERROR(INDEX(Testes!$N$2:$N$500,MATCH(A585,Testes!$A$2:$A$500,0)),""))</f>
        <v/>
      </c>
      <c r="G585" s="8">
        <f>IF(F585="ocorrência","VP",IF(F585="sem ocorrência","FP",""))</f>
        <v/>
      </c>
      <c r="H585" s="7" t="n"/>
      <c r="I585" s="8">
        <f>IF(H585&lt;&gt;"",H585,G585)</f>
        <v/>
      </c>
    </row>
    <row r="586">
      <c r="A586" s="9" t="n"/>
      <c r="B586" s="9" t="n"/>
      <c r="C586" s="9" t="n"/>
      <c r="D586" s="9" t="n"/>
      <c r="E586" s="9" t="n"/>
      <c r="F586" s="8">
        <f>IF(A586="","",IFERROR(INDEX(Testes!$N$2:$N$500,MATCH(A586,Testes!$A$2:$A$500,0)),""))</f>
        <v/>
      </c>
      <c r="G586" s="8">
        <f>IF(F586="ocorrência","VP",IF(F586="sem ocorrência","FP",""))</f>
        <v/>
      </c>
      <c r="H586" s="7" t="n"/>
      <c r="I586" s="8">
        <f>IF(H586&lt;&gt;"",H586,G586)</f>
        <v/>
      </c>
    </row>
    <row r="587">
      <c r="A587" s="9" t="n"/>
      <c r="B587" s="9" t="n"/>
      <c r="C587" s="9" t="n"/>
      <c r="D587" s="9" t="n"/>
      <c r="E587" s="9" t="n"/>
      <c r="F587" s="8">
        <f>IF(A587="","",IFERROR(INDEX(Testes!$N$2:$N$500,MATCH(A587,Testes!$A$2:$A$500,0)),""))</f>
        <v/>
      </c>
      <c r="G587" s="8">
        <f>IF(F587="ocorrência","VP",IF(F587="sem ocorrência","FP",""))</f>
        <v/>
      </c>
      <c r="H587" s="7" t="n"/>
      <c r="I587" s="8">
        <f>IF(H587&lt;&gt;"",H587,G587)</f>
        <v/>
      </c>
    </row>
    <row r="588">
      <c r="A588" s="9" t="n"/>
      <c r="B588" s="9" t="n"/>
      <c r="C588" s="9" t="n"/>
      <c r="D588" s="9" t="n"/>
      <c r="E588" s="9" t="n"/>
      <c r="F588" s="8">
        <f>IF(A588="","",IFERROR(INDEX(Testes!$N$2:$N$500,MATCH(A588,Testes!$A$2:$A$500,0)),""))</f>
        <v/>
      </c>
      <c r="G588" s="8">
        <f>IF(F588="ocorrência","VP",IF(F588="sem ocorrência","FP",""))</f>
        <v/>
      </c>
      <c r="H588" s="7" t="n"/>
      <c r="I588" s="8">
        <f>IF(H588&lt;&gt;"",H588,G588)</f>
        <v/>
      </c>
    </row>
    <row r="589">
      <c r="A589" s="9" t="n"/>
      <c r="B589" s="9" t="n"/>
      <c r="C589" s="9" t="n"/>
      <c r="D589" s="9" t="n"/>
      <c r="E589" s="9" t="n"/>
      <c r="F589" s="8">
        <f>IF(A589="","",IFERROR(INDEX(Testes!$N$2:$N$500,MATCH(A589,Testes!$A$2:$A$500,0)),""))</f>
        <v/>
      </c>
      <c r="G589" s="8">
        <f>IF(F589="ocorrência","VP",IF(F589="sem ocorrência","FP",""))</f>
        <v/>
      </c>
      <c r="H589" s="7" t="n"/>
      <c r="I589" s="8">
        <f>IF(H589&lt;&gt;"",H589,G589)</f>
        <v/>
      </c>
    </row>
    <row r="590">
      <c r="A590" s="9" t="n"/>
      <c r="B590" s="9" t="n"/>
      <c r="C590" s="9" t="n"/>
      <c r="D590" s="9" t="n"/>
      <c r="E590" s="9" t="n"/>
      <c r="F590" s="8">
        <f>IF(A590="","",IFERROR(INDEX(Testes!$N$2:$N$500,MATCH(A590,Testes!$A$2:$A$500,0)),""))</f>
        <v/>
      </c>
      <c r="G590" s="8">
        <f>IF(F590="ocorrência","VP",IF(F590="sem ocorrência","FP",""))</f>
        <v/>
      </c>
      <c r="H590" s="7" t="n"/>
      <c r="I590" s="8">
        <f>IF(H590&lt;&gt;"",H590,G590)</f>
        <v/>
      </c>
    </row>
    <row r="591">
      <c r="A591" s="9" t="n"/>
      <c r="B591" s="9" t="n"/>
      <c r="C591" s="9" t="n"/>
      <c r="D591" s="9" t="n"/>
      <c r="E591" s="9" t="n"/>
      <c r="F591" s="8">
        <f>IF(A591="","",IFERROR(INDEX(Testes!$N$2:$N$500,MATCH(A591,Testes!$A$2:$A$500,0)),""))</f>
        <v/>
      </c>
      <c r="G591" s="8">
        <f>IF(F591="ocorrência","VP",IF(F591="sem ocorrência","FP",""))</f>
        <v/>
      </c>
      <c r="H591" s="7" t="n"/>
      <c r="I591" s="8">
        <f>IF(H591&lt;&gt;"",H591,G591)</f>
        <v/>
      </c>
    </row>
    <row r="592">
      <c r="A592" s="9" t="n"/>
      <c r="B592" s="9" t="n"/>
      <c r="C592" s="9" t="n"/>
      <c r="D592" s="9" t="n"/>
      <c r="E592" s="9" t="n"/>
      <c r="F592" s="8">
        <f>IF(A592="","",IFERROR(INDEX(Testes!$N$2:$N$500,MATCH(A592,Testes!$A$2:$A$500,0)),""))</f>
        <v/>
      </c>
      <c r="G592" s="8">
        <f>IF(F592="ocorrência","VP",IF(F592="sem ocorrência","FP",""))</f>
        <v/>
      </c>
      <c r="H592" s="7" t="n"/>
      <c r="I592" s="8">
        <f>IF(H592&lt;&gt;"",H592,G592)</f>
        <v/>
      </c>
    </row>
    <row r="593">
      <c r="A593" s="9" t="n"/>
      <c r="B593" s="9" t="n"/>
      <c r="C593" s="9" t="n"/>
      <c r="D593" s="9" t="n"/>
      <c r="E593" s="9" t="n"/>
      <c r="F593" s="8">
        <f>IF(A593="","",IFERROR(INDEX(Testes!$N$2:$N$500,MATCH(A593,Testes!$A$2:$A$500,0)),""))</f>
        <v/>
      </c>
      <c r="G593" s="8">
        <f>IF(F593="ocorrência","VP",IF(F593="sem ocorrência","FP",""))</f>
        <v/>
      </c>
      <c r="H593" s="7" t="n"/>
      <c r="I593" s="8">
        <f>IF(H593&lt;&gt;"",H593,G593)</f>
        <v/>
      </c>
    </row>
    <row r="594">
      <c r="A594" s="9" t="n"/>
      <c r="B594" s="9" t="n"/>
      <c r="C594" s="9" t="n"/>
      <c r="D594" s="9" t="n"/>
      <c r="E594" s="9" t="n"/>
      <c r="F594" s="8">
        <f>IF(A594="","",IFERROR(INDEX(Testes!$N$2:$N$500,MATCH(A594,Testes!$A$2:$A$500,0)),""))</f>
        <v/>
      </c>
      <c r="G594" s="8">
        <f>IF(F594="ocorrência","VP",IF(F594="sem ocorrência","FP",""))</f>
        <v/>
      </c>
      <c r="H594" s="7" t="n"/>
      <c r="I594" s="8">
        <f>IF(H594&lt;&gt;"",H594,G594)</f>
        <v/>
      </c>
    </row>
    <row r="595">
      <c r="A595" s="9" t="n"/>
      <c r="B595" s="9" t="n"/>
      <c r="C595" s="9" t="n"/>
      <c r="D595" s="9" t="n"/>
      <c r="E595" s="9" t="n"/>
      <c r="F595" s="8">
        <f>IF(A595="","",IFERROR(INDEX(Testes!$N$2:$N$500,MATCH(A595,Testes!$A$2:$A$500,0)),""))</f>
        <v/>
      </c>
      <c r="G595" s="8">
        <f>IF(F595="ocorrência","VP",IF(F595="sem ocorrência","FP",""))</f>
        <v/>
      </c>
      <c r="H595" s="7" t="n"/>
      <c r="I595" s="8">
        <f>IF(H595&lt;&gt;"",H595,G595)</f>
        <v/>
      </c>
    </row>
    <row r="596">
      <c r="A596" s="9" t="n"/>
      <c r="B596" s="9" t="n"/>
      <c r="C596" s="9" t="n"/>
      <c r="D596" s="9" t="n"/>
      <c r="E596" s="9" t="n"/>
      <c r="F596" s="8">
        <f>IF(A596="","",IFERROR(INDEX(Testes!$N$2:$N$500,MATCH(A596,Testes!$A$2:$A$500,0)),""))</f>
        <v/>
      </c>
      <c r="G596" s="8">
        <f>IF(F596="ocorrência","VP",IF(F596="sem ocorrência","FP",""))</f>
        <v/>
      </c>
      <c r="H596" s="7" t="n"/>
      <c r="I596" s="8">
        <f>IF(H596&lt;&gt;"",H596,G596)</f>
        <v/>
      </c>
    </row>
    <row r="597">
      <c r="A597" s="9" t="n"/>
      <c r="B597" s="9" t="n"/>
      <c r="C597" s="9" t="n"/>
      <c r="D597" s="9" t="n"/>
      <c r="E597" s="9" t="n"/>
      <c r="F597" s="8">
        <f>IF(A597="","",IFERROR(INDEX(Testes!$N$2:$N$500,MATCH(A597,Testes!$A$2:$A$500,0)),""))</f>
        <v/>
      </c>
      <c r="G597" s="8">
        <f>IF(F597="ocorrência","VP",IF(F597="sem ocorrência","FP",""))</f>
        <v/>
      </c>
      <c r="H597" s="7" t="n"/>
      <c r="I597" s="8">
        <f>IF(H597&lt;&gt;"",H597,G597)</f>
        <v/>
      </c>
    </row>
    <row r="598">
      <c r="A598" s="9" t="n"/>
      <c r="B598" s="9" t="n"/>
      <c r="C598" s="9" t="n"/>
      <c r="D598" s="9" t="n"/>
      <c r="E598" s="9" t="n"/>
      <c r="F598" s="8">
        <f>IF(A598="","",IFERROR(INDEX(Testes!$N$2:$N$500,MATCH(A598,Testes!$A$2:$A$500,0)),""))</f>
        <v/>
      </c>
      <c r="G598" s="8">
        <f>IF(F598="ocorrência","VP",IF(F598="sem ocorrência","FP",""))</f>
        <v/>
      </c>
      <c r="H598" s="7" t="n"/>
      <c r="I598" s="8">
        <f>IF(H598&lt;&gt;"",H598,G598)</f>
        <v/>
      </c>
    </row>
    <row r="599">
      <c r="A599" s="9" t="n"/>
      <c r="B599" s="9" t="n"/>
      <c r="C599" s="9" t="n"/>
      <c r="D599" s="9" t="n"/>
      <c r="E599" s="9" t="n"/>
      <c r="F599" s="8">
        <f>IF(A599="","",IFERROR(INDEX(Testes!$N$2:$N$500,MATCH(A599,Testes!$A$2:$A$500,0)),""))</f>
        <v/>
      </c>
      <c r="G599" s="8">
        <f>IF(F599="ocorrência","VP",IF(F599="sem ocorrência","FP",""))</f>
        <v/>
      </c>
      <c r="H599" s="7" t="n"/>
      <c r="I599" s="8">
        <f>IF(H599&lt;&gt;"",H599,G599)</f>
        <v/>
      </c>
    </row>
    <row r="600">
      <c r="A600" s="9" t="n"/>
      <c r="B600" s="9" t="n"/>
      <c r="C600" s="9" t="n"/>
      <c r="D600" s="9" t="n"/>
      <c r="E600" s="9" t="n"/>
      <c r="F600" s="8">
        <f>IF(A600="","",IFERROR(INDEX(Testes!$N$2:$N$500,MATCH(A600,Testes!$A$2:$A$500,0)),""))</f>
        <v/>
      </c>
      <c r="G600" s="8">
        <f>IF(F600="ocorrência","VP",IF(F600="sem ocorrência","FP",""))</f>
        <v/>
      </c>
      <c r="H600" s="7" t="n"/>
      <c r="I600" s="8">
        <f>IF(H600&lt;&gt;"",H600,G600)</f>
        <v/>
      </c>
    </row>
    <row r="601">
      <c r="A601" s="9" t="n"/>
      <c r="B601" s="9" t="n"/>
      <c r="C601" s="9" t="n"/>
      <c r="D601" s="9" t="n"/>
      <c r="E601" s="9" t="n"/>
      <c r="F601" s="8">
        <f>IF(A601="","",IFERROR(INDEX(Testes!$N$2:$N$500,MATCH(A601,Testes!$A$2:$A$500,0)),""))</f>
        <v/>
      </c>
      <c r="G601" s="8">
        <f>IF(F601="ocorrência","VP",IF(F601="sem ocorrência","FP",""))</f>
        <v/>
      </c>
      <c r="H601" s="7" t="n"/>
      <c r="I601" s="8">
        <f>IF(H601&lt;&gt;"",H601,G601)</f>
        <v/>
      </c>
    </row>
    <row r="602">
      <c r="A602" s="9" t="n"/>
      <c r="B602" s="9" t="n"/>
      <c r="C602" s="9" t="n"/>
      <c r="D602" s="9" t="n"/>
      <c r="E602" s="9" t="n"/>
      <c r="F602" s="8">
        <f>IF(A602="","",IFERROR(INDEX(Testes!$N$2:$N$500,MATCH(A602,Testes!$A$2:$A$500,0)),""))</f>
        <v/>
      </c>
      <c r="G602" s="8">
        <f>IF(F602="ocorrência","VP",IF(F602="sem ocorrência","FP",""))</f>
        <v/>
      </c>
      <c r="H602" s="7" t="n"/>
      <c r="I602" s="8">
        <f>IF(H602&lt;&gt;"",H602,G602)</f>
        <v/>
      </c>
    </row>
    <row r="603">
      <c r="A603" s="9" t="n"/>
      <c r="B603" s="9" t="n"/>
      <c r="C603" s="9" t="n"/>
      <c r="D603" s="9" t="n"/>
      <c r="E603" s="9" t="n"/>
      <c r="F603" s="8">
        <f>IF(A603="","",IFERROR(INDEX(Testes!$N$2:$N$500,MATCH(A603,Testes!$A$2:$A$500,0)),""))</f>
        <v/>
      </c>
      <c r="G603" s="8">
        <f>IF(F603="ocorrência","VP",IF(F603="sem ocorrência","FP",""))</f>
        <v/>
      </c>
      <c r="H603" s="7" t="n"/>
      <c r="I603" s="8">
        <f>IF(H603&lt;&gt;"",H603,G603)</f>
        <v/>
      </c>
    </row>
    <row r="604">
      <c r="A604" s="9" t="n"/>
      <c r="B604" s="9" t="n"/>
      <c r="C604" s="9" t="n"/>
      <c r="D604" s="9" t="n"/>
      <c r="E604" s="9" t="n"/>
      <c r="F604" s="8">
        <f>IF(A604="","",IFERROR(INDEX(Testes!$N$2:$N$500,MATCH(A604,Testes!$A$2:$A$500,0)),""))</f>
        <v/>
      </c>
      <c r="G604" s="8">
        <f>IF(F604="ocorrência","VP",IF(F604="sem ocorrência","FP",""))</f>
        <v/>
      </c>
      <c r="H604" s="7" t="n"/>
      <c r="I604" s="8">
        <f>IF(H604&lt;&gt;"",H604,G604)</f>
        <v/>
      </c>
    </row>
    <row r="605">
      <c r="A605" s="9" t="n"/>
      <c r="B605" s="9" t="n"/>
      <c r="C605" s="9" t="n"/>
      <c r="D605" s="9" t="n"/>
      <c r="E605" s="9" t="n"/>
      <c r="F605" s="8">
        <f>IF(A605="","",IFERROR(INDEX(Testes!$N$2:$N$500,MATCH(A605,Testes!$A$2:$A$500,0)),""))</f>
        <v/>
      </c>
      <c r="G605" s="8">
        <f>IF(F605="ocorrência","VP",IF(F605="sem ocorrência","FP",""))</f>
        <v/>
      </c>
      <c r="H605" s="7" t="n"/>
      <c r="I605" s="8">
        <f>IF(H605&lt;&gt;"",H605,G605)</f>
        <v/>
      </c>
    </row>
    <row r="606">
      <c r="A606" s="9" t="n"/>
      <c r="B606" s="9" t="n"/>
      <c r="C606" s="9" t="n"/>
      <c r="D606" s="9" t="n"/>
      <c r="E606" s="9" t="n"/>
      <c r="F606" s="8">
        <f>IF(A606="","",IFERROR(INDEX(Testes!$N$2:$N$500,MATCH(A606,Testes!$A$2:$A$500,0)),""))</f>
        <v/>
      </c>
      <c r="G606" s="8">
        <f>IF(F606="ocorrência","VP",IF(F606="sem ocorrência","FP",""))</f>
        <v/>
      </c>
      <c r="H606" s="7" t="n"/>
      <c r="I606" s="8">
        <f>IF(H606&lt;&gt;"",H606,G606)</f>
        <v/>
      </c>
    </row>
    <row r="607">
      <c r="A607" s="9" t="n"/>
      <c r="B607" s="9" t="n"/>
      <c r="C607" s="9" t="n"/>
      <c r="D607" s="9" t="n"/>
      <c r="E607" s="9" t="n"/>
      <c r="F607" s="8">
        <f>IF(A607="","",IFERROR(INDEX(Testes!$N$2:$N$500,MATCH(A607,Testes!$A$2:$A$500,0)),""))</f>
        <v/>
      </c>
      <c r="G607" s="8">
        <f>IF(F607="ocorrência","VP",IF(F607="sem ocorrência","FP",""))</f>
        <v/>
      </c>
      <c r="H607" s="7" t="n"/>
      <c r="I607" s="8">
        <f>IF(H607&lt;&gt;"",H607,G607)</f>
        <v/>
      </c>
    </row>
    <row r="608">
      <c r="A608" s="9" t="n"/>
      <c r="B608" s="9" t="n"/>
      <c r="C608" s="9" t="n"/>
      <c r="D608" s="9" t="n"/>
      <c r="E608" s="9" t="n"/>
      <c r="F608" s="8">
        <f>IF(A608="","",IFERROR(INDEX(Testes!$N$2:$N$500,MATCH(A608,Testes!$A$2:$A$500,0)),""))</f>
        <v/>
      </c>
      <c r="G608" s="8">
        <f>IF(F608="ocorrência","VP",IF(F608="sem ocorrência","FP",""))</f>
        <v/>
      </c>
      <c r="H608" s="7" t="n"/>
      <c r="I608" s="8">
        <f>IF(H608&lt;&gt;"",H608,G608)</f>
        <v/>
      </c>
    </row>
    <row r="609">
      <c r="A609" s="9" t="n"/>
      <c r="B609" s="9" t="n"/>
      <c r="C609" s="9" t="n"/>
      <c r="D609" s="9" t="n"/>
      <c r="E609" s="9" t="n"/>
      <c r="F609" s="8">
        <f>IF(A609="","",IFERROR(INDEX(Testes!$N$2:$N$500,MATCH(A609,Testes!$A$2:$A$500,0)),""))</f>
        <v/>
      </c>
      <c r="G609" s="8">
        <f>IF(F609="ocorrência","VP",IF(F609="sem ocorrência","FP",""))</f>
        <v/>
      </c>
      <c r="H609" s="7" t="n"/>
      <c r="I609" s="8">
        <f>IF(H609&lt;&gt;"",H609,G609)</f>
        <v/>
      </c>
    </row>
    <row r="610">
      <c r="A610" s="9" t="n"/>
      <c r="B610" s="9" t="n"/>
      <c r="C610" s="9" t="n"/>
      <c r="D610" s="9" t="n"/>
      <c r="E610" s="9" t="n"/>
      <c r="F610" s="8">
        <f>IF(A610="","",IFERROR(INDEX(Testes!$N$2:$N$500,MATCH(A610,Testes!$A$2:$A$500,0)),""))</f>
        <v/>
      </c>
      <c r="G610" s="8">
        <f>IF(F610="ocorrência","VP",IF(F610="sem ocorrência","FP",""))</f>
        <v/>
      </c>
      <c r="H610" s="7" t="n"/>
      <c r="I610" s="8">
        <f>IF(H610&lt;&gt;"",H610,G610)</f>
        <v/>
      </c>
    </row>
    <row r="611">
      <c r="A611" s="9" t="n"/>
      <c r="B611" s="9" t="n"/>
      <c r="C611" s="9" t="n"/>
      <c r="D611" s="9" t="n"/>
      <c r="E611" s="9" t="n"/>
      <c r="F611" s="8">
        <f>IF(A611="","",IFERROR(INDEX(Testes!$N$2:$N$500,MATCH(A611,Testes!$A$2:$A$500,0)),""))</f>
        <v/>
      </c>
      <c r="G611" s="8">
        <f>IF(F611="ocorrência","VP",IF(F611="sem ocorrência","FP",""))</f>
        <v/>
      </c>
      <c r="H611" s="7" t="n"/>
      <c r="I611" s="8">
        <f>IF(H611&lt;&gt;"",H611,G611)</f>
        <v/>
      </c>
    </row>
    <row r="612">
      <c r="A612" s="9" t="n"/>
      <c r="B612" s="9" t="n"/>
      <c r="C612" s="9" t="n"/>
      <c r="D612" s="9" t="n"/>
      <c r="E612" s="9" t="n"/>
      <c r="F612" s="8">
        <f>IF(A612="","",IFERROR(INDEX(Testes!$N$2:$N$500,MATCH(A612,Testes!$A$2:$A$500,0)),""))</f>
        <v/>
      </c>
      <c r="G612" s="8">
        <f>IF(F612="ocorrência","VP",IF(F612="sem ocorrência","FP",""))</f>
        <v/>
      </c>
      <c r="H612" s="7" t="n"/>
      <c r="I612" s="8">
        <f>IF(H612&lt;&gt;"",H612,G612)</f>
        <v/>
      </c>
    </row>
    <row r="613">
      <c r="A613" s="9" t="n"/>
      <c r="B613" s="9" t="n"/>
      <c r="C613" s="9" t="n"/>
      <c r="D613" s="9" t="n"/>
      <c r="E613" s="9" t="n"/>
      <c r="F613" s="8">
        <f>IF(A613="","",IFERROR(INDEX(Testes!$N$2:$N$500,MATCH(A613,Testes!$A$2:$A$500,0)),""))</f>
        <v/>
      </c>
      <c r="G613" s="8">
        <f>IF(F613="ocorrência","VP",IF(F613="sem ocorrência","FP",""))</f>
        <v/>
      </c>
      <c r="H613" s="7" t="n"/>
      <c r="I613" s="8">
        <f>IF(H613&lt;&gt;"",H613,G613)</f>
        <v/>
      </c>
    </row>
    <row r="614">
      <c r="A614" s="9" t="n"/>
      <c r="B614" s="9" t="n"/>
      <c r="C614" s="9" t="n"/>
      <c r="D614" s="9" t="n"/>
      <c r="E614" s="9" t="n"/>
      <c r="F614" s="8">
        <f>IF(A614="","",IFERROR(INDEX(Testes!$N$2:$N$500,MATCH(A614,Testes!$A$2:$A$500,0)),""))</f>
        <v/>
      </c>
      <c r="G614" s="8">
        <f>IF(F614="ocorrência","VP",IF(F614="sem ocorrência","FP",""))</f>
        <v/>
      </c>
      <c r="H614" s="7" t="n"/>
      <c r="I614" s="8">
        <f>IF(H614&lt;&gt;"",H614,G614)</f>
        <v/>
      </c>
    </row>
    <row r="615">
      <c r="A615" s="9" t="n"/>
      <c r="B615" s="9" t="n"/>
      <c r="C615" s="9" t="n"/>
      <c r="D615" s="9" t="n"/>
      <c r="E615" s="9" t="n"/>
      <c r="F615" s="8">
        <f>IF(A615="","",IFERROR(INDEX(Testes!$N$2:$N$500,MATCH(A615,Testes!$A$2:$A$500,0)),""))</f>
        <v/>
      </c>
      <c r="G615" s="8">
        <f>IF(F615="ocorrência","VP",IF(F615="sem ocorrência","FP",""))</f>
        <v/>
      </c>
      <c r="H615" s="7" t="n"/>
      <c r="I615" s="8">
        <f>IF(H615&lt;&gt;"",H615,G615)</f>
        <v/>
      </c>
    </row>
    <row r="616">
      <c r="A616" s="9" t="n"/>
      <c r="B616" s="9" t="n"/>
      <c r="C616" s="9" t="n"/>
      <c r="D616" s="9" t="n"/>
      <c r="E616" s="9" t="n"/>
      <c r="F616" s="8">
        <f>IF(A616="","",IFERROR(INDEX(Testes!$N$2:$N$500,MATCH(A616,Testes!$A$2:$A$500,0)),""))</f>
        <v/>
      </c>
      <c r="G616" s="8">
        <f>IF(F616="ocorrência","VP",IF(F616="sem ocorrência","FP",""))</f>
        <v/>
      </c>
      <c r="H616" s="7" t="n"/>
      <c r="I616" s="8">
        <f>IF(H616&lt;&gt;"",H616,G616)</f>
        <v/>
      </c>
    </row>
    <row r="617">
      <c r="A617" s="9" t="n"/>
      <c r="B617" s="9" t="n"/>
      <c r="C617" s="9" t="n"/>
      <c r="D617" s="9" t="n"/>
      <c r="E617" s="9" t="n"/>
      <c r="F617" s="8">
        <f>IF(A617="","",IFERROR(INDEX(Testes!$N$2:$N$500,MATCH(A617,Testes!$A$2:$A$500,0)),""))</f>
        <v/>
      </c>
      <c r="G617" s="8">
        <f>IF(F617="ocorrência","VP",IF(F617="sem ocorrência","FP",""))</f>
        <v/>
      </c>
      <c r="H617" s="7" t="n"/>
      <c r="I617" s="8">
        <f>IF(H617&lt;&gt;"",H617,G617)</f>
        <v/>
      </c>
    </row>
    <row r="618">
      <c r="A618" s="9" t="n"/>
      <c r="B618" s="9" t="n"/>
      <c r="C618" s="9" t="n"/>
      <c r="D618" s="9" t="n"/>
      <c r="E618" s="9" t="n"/>
      <c r="F618" s="8">
        <f>IF(A618="","",IFERROR(INDEX(Testes!$N$2:$N$500,MATCH(A618,Testes!$A$2:$A$500,0)),""))</f>
        <v/>
      </c>
      <c r="G618" s="8">
        <f>IF(F618="ocorrência","VP",IF(F618="sem ocorrência","FP",""))</f>
        <v/>
      </c>
      <c r="H618" s="7" t="n"/>
      <c r="I618" s="8">
        <f>IF(H618&lt;&gt;"",H618,G618)</f>
        <v/>
      </c>
    </row>
    <row r="619">
      <c r="A619" s="9" t="n"/>
      <c r="B619" s="9" t="n"/>
      <c r="C619" s="9" t="n"/>
      <c r="D619" s="9" t="n"/>
      <c r="E619" s="9" t="n"/>
      <c r="F619" s="8">
        <f>IF(A619="","",IFERROR(INDEX(Testes!$N$2:$N$500,MATCH(A619,Testes!$A$2:$A$500,0)),""))</f>
        <v/>
      </c>
      <c r="G619" s="8">
        <f>IF(F619="ocorrência","VP",IF(F619="sem ocorrência","FP",""))</f>
        <v/>
      </c>
      <c r="H619" s="7" t="n"/>
      <c r="I619" s="8">
        <f>IF(H619&lt;&gt;"",H619,G619)</f>
        <v/>
      </c>
    </row>
    <row r="620">
      <c r="A620" s="9" t="n"/>
      <c r="B620" s="9" t="n"/>
      <c r="C620" s="9" t="n"/>
      <c r="D620" s="9" t="n"/>
      <c r="E620" s="9" t="n"/>
      <c r="F620" s="8">
        <f>IF(A620="","",IFERROR(INDEX(Testes!$N$2:$N$500,MATCH(A620,Testes!$A$2:$A$500,0)),""))</f>
        <v/>
      </c>
      <c r="G620" s="8">
        <f>IF(F620="ocorrência","VP",IF(F620="sem ocorrência","FP",""))</f>
        <v/>
      </c>
      <c r="H620" s="7" t="n"/>
      <c r="I620" s="8">
        <f>IF(H620&lt;&gt;"",H620,G620)</f>
        <v/>
      </c>
    </row>
    <row r="621">
      <c r="A621" s="9" t="n"/>
      <c r="B621" s="9" t="n"/>
      <c r="C621" s="9" t="n"/>
      <c r="D621" s="9" t="n"/>
      <c r="E621" s="9" t="n"/>
      <c r="F621" s="8">
        <f>IF(A621="","",IFERROR(INDEX(Testes!$N$2:$N$500,MATCH(A621,Testes!$A$2:$A$500,0)),""))</f>
        <v/>
      </c>
      <c r="G621" s="8">
        <f>IF(F621="ocorrência","VP",IF(F621="sem ocorrência","FP",""))</f>
        <v/>
      </c>
      <c r="H621" s="7" t="n"/>
      <c r="I621" s="8">
        <f>IF(H621&lt;&gt;"",H621,G621)</f>
        <v/>
      </c>
    </row>
    <row r="622">
      <c r="A622" s="9" t="n"/>
      <c r="B622" s="9" t="n"/>
      <c r="C622" s="9" t="n"/>
      <c r="D622" s="9" t="n"/>
      <c r="E622" s="9" t="n"/>
      <c r="F622" s="8">
        <f>IF(A622="","",IFERROR(INDEX(Testes!$N$2:$N$500,MATCH(A622,Testes!$A$2:$A$500,0)),""))</f>
        <v/>
      </c>
      <c r="G622" s="8">
        <f>IF(F622="ocorrência","VP",IF(F622="sem ocorrência","FP",""))</f>
        <v/>
      </c>
      <c r="H622" s="7" t="n"/>
      <c r="I622" s="8">
        <f>IF(H622&lt;&gt;"",H622,G622)</f>
        <v/>
      </c>
    </row>
    <row r="623">
      <c r="A623" s="9" t="n"/>
      <c r="B623" s="9" t="n"/>
      <c r="C623" s="9" t="n"/>
      <c r="D623" s="9" t="n"/>
      <c r="E623" s="9" t="n"/>
      <c r="F623" s="8">
        <f>IF(A623="","",IFERROR(INDEX(Testes!$N$2:$N$500,MATCH(A623,Testes!$A$2:$A$500,0)),""))</f>
        <v/>
      </c>
      <c r="G623" s="8">
        <f>IF(F623="ocorrência","VP",IF(F623="sem ocorrência","FP",""))</f>
        <v/>
      </c>
      <c r="H623" s="7" t="n"/>
      <c r="I623" s="8">
        <f>IF(H623&lt;&gt;"",H623,G623)</f>
        <v/>
      </c>
    </row>
    <row r="624">
      <c r="A624" s="9" t="n"/>
      <c r="B624" s="9" t="n"/>
      <c r="C624" s="9" t="n"/>
      <c r="D624" s="9" t="n"/>
      <c r="E624" s="9" t="n"/>
      <c r="F624" s="8">
        <f>IF(A624="","",IFERROR(INDEX(Testes!$N$2:$N$500,MATCH(A624,Testes!$A$2:$A$500,0)),""))</f>
        <v/>
      </c>
      <c r="G624" s="8">
        <f>IF(F624="ocorrência","VP",IF(F624="sem ocorrência","FP",""))</f>
        <v/>
      </c>
      <c r="H624" s="7" t="n"/>
      <c r="I624" s="8">
        <f>IF(H624&lt;&gt;"",H624,G624)</f>
        <v/>
      </c>
    </row>
    <row r="625">
      <c r="A625" s="9" t="n"/>
      <c r="B625" s="9" t="n"/>
      <c r="C625" s="9" t="n"/>
      <c r="D625" s="9" t="n"/>
      <c r="E625" s="9" t="n"/>
      <c r="F625" s="8">
        <f>IF(A625="","",IFERROR(INDEX(Testes!$N$2:$N$500,MATCH(A625,Testes!$A$2:$A$500,0)),""))</f>
        <v/>
      </c>
      <c r="G625" s="8">
        <f>IF(F625="ocorrência","VP",IF(F625="sem ocorrência","FP",""))</f>
        <v/>
      </c>
      <c r="H625" s="7" t="n"/>
      <c r="I625" s="8">
        <f>IF(H625&lt;&gt;"",H625,G625)</f>
        <v/>
      </c>
    </row>
    <row r="626">
      <c r="A626" s="9" t="n"/>
      <c r="B626" s="9" t="n"/>
      <c r="C626" s="9" t="n"/>
      <c r="D626" s="9" t="n"/>
      <c r="E626" s="9" t="n"/>
      <c r="F626" s="8">
        <f>IF(A626="","",IFERROR(INDEX(Testes!$N$2:$N$500,MATCH(A626,Testes!$A$2:$A$500,0)),""))</f>
        <v/>
      </c>
      <c r="G626" s="8">
        <f>IF(F626="ocorrência","VP",IF(F626="sem ocorrência","FP",""))</f>
        <v/>
      </c>
      <c r="H626" s="7" t="n"/>
      <c r="I626" s="8">
        <f>IF(H626&lt;&gt;"",H626,G626)</f>
        <v/>
      </c>
    </row>
    <row r="627">
      <c r="A627" s="9" t="n"/>
      <c r="B627" s="9" t="n"/>
      <c r="C627" s="9" t="n"/>
      <c r="D627" s="9" t="n"/>
      <c r="E627" s="9" t="n"/>
      <c r="F627" s="8">
        <f>IF(A627="","",IFERROR(INDEX(Testes!$N$2:$N$500,MATCH(A627,Testes!$A$2:$A$500,0)),""))</f>
        <v/>
      </c>
      <c r="G627" s="8">
        <f>IF(F627="ocorrência","VP",IF(F627="sem ocorrência","FP",""))</f>
        <v/>
      </c>
      <c r="H627" s="7" t="n"/>
      <c r="I627" s="8">
        <f>IF(H627&lt;&gt;"",H627,G627)</f>
        <v/>
      </c>
    </row>
    <row r="628">
      <c r="A628" s="9" t="n"/>
      <c r="B628" s="9" t="n"/>
      <c r="C628" s="9" t="n"/>
      <c r="D628" s="9" t="n"/>
      <c r="E628" s="9" t="n"/>
      <c r="F628" s="8">
        <f>IF(A628="","",IFERROR(INDEX(Testes!$N$2:$N$500,MATCH(A628,Testes!$A$2:$A$500,0)),""))</f>
        <v/>
      </c>
      <c r="G628" s="8">
        <f>IF(F628="ocorrência","VP",IF(F628="sem ocorrência","FP",""))</f>
        <v/>
      </c>
      <c r="H628" s="7" t="n"/>
      <c r="I628" s="8">
        <f>IF(H628&lt;&gt;"",H628,G628)</f>
        <v/>
      </c>
    </row>
    <row r="629">
      <c r="A629" s="9" t="n"/>
      <c r="B629" s="9" t="n"/>
      <c r="C629" s="9" t="n"/>
      <c r="D629" s="9" t="n"/>
      <c r="E629" s="9" t="n"/>
      <c r="F629" s="8">
        <f>IF(A629="","",IFERROR(INDEX(Testes!$N$2:$N$500,MATCH(A629,Testes!$A$2:$A$500,0)),""))</f>
        <v/>
      </c>
      <c r="G629" s="8">
        <f>IF(F629="ocorrência","VP",IF(F629="sem ocorrência","FP",""))</f>
        <v/>
      </c>
      <c r="H629" s="7" t="n"/>
      <c r="I629" s="8">
        <f>IF(H629&lt;&gt;"",H629,G629)</f>
        <v/>
      </c>
    </row>
    <row r="630">
      <c r="A630" s="9" t="n"/>
      <c r="B630" s="9" t="n"/>
      <c r="C630" s="9" t="n"/>
      <c r="D630" s="9" t="n"/>
      <c r="E630" s="9" t="n"/>
      <c r="F630" s="8">
        <f>IF(A630="","",IFERROR(INDEX(Testes!$N$2:$N$500,MATCH(A630,Testes!$A$2:$A$500,0)),""))</f>
        <v/>
      </c>
      <c r="G630" s="8">
        <f>IF(F630="ocorrência","VP",IF(F630="sem ocorrência","FP",""))</f>
        <v/>
      </c>
      <c r="H630" s="7" t="n"/>
      <c r="I630" s="8">
        <f>IF(H630&lt;&gt;"",H630,G630)</f>
        <v/>
      </c>
    </row>
    <row r="631">
      <c r="A631" s="9" t="n"/>
      <c r="B631" s="9" t="n"/>
      <c r="C631" s="9" t="n"/>
      <c r="D631" s="9" t="n"/>
      <c r="E631" s="9" t="n"/>
      <c r="F631" s="8">
        <f>IF(A631="","",IFERROR(INDEX(Testes!$N$2:$N$500,MATCH(A631,Testes!$A$2:$A$500,0)),""))</f>
        <v/>
      </c>
      <c r="G631" s="8">
        <f>IF(F631="ocorrência","VP",IF(F631="sem ocorrência","FP",""))</f>
        <v/>
      </c>
      <c r="H631" s="7" t="n"/>
      <c r="I631" s="8">
        <f>IF(H631&lt;&gt;"",H631,G631)</f>
        <v/>
      </c>
    </row>
    <row r="632">
      <c r="A632" s="9" t="n"/>
      <c r="B632" s="9" t="n"/>
      <c r="C632" s="9" t="n"/>
      <c r="D632" s="9" t="n"/>
      <c r="E632" s="9" t="n"/>
      <c r="F632" s="8">
        <f>IF(A632="","",IFERROR(INDEX(Testes!$N$2:$N$500,MATCH(A632,Testes!$A$2:$A$500,0)),""))</f>
        <v/>
      </c>
      <c r="G632" s="8">
        <f>IF(F632="ocorrência","VP",IF(F632="sem ocorrência","FP",""))</f>
        <v/>
      </c>
      <c r="H632" s="7" t="n"/>
      <c r="I632" s="8">
        <f>IF(H632&lt;&gt;"",H632,G632)</f>
        <v/>
      </c>
    </row>
    <row r="633">
      <c r="A633" s="9" t="n"/>
      <c r="B633" s="9" t="n"/>
      <c r="C633" s="9" t="n"/>
      <c r="D633" s="9" t="n"/>
      <c r="E633" s="9" t="n"/>
      <c r="F633" s="8">
        <f>IF(A633="","",IFERROR(INDEX(Testes!$N$2:$N$500,MATCH(A633,Testes!$A$2:$A$500,0)),""))</f>
        <v/>
      </c>
      <c r="G633" s="8">
        <f>IF(F633="ocorrência","VP",IF(F633="sem ocorrência","FP",""))</f>
        <v/>
      </c>
      <c r="H633" s="7" t="n"/>
      <c r="I633" s="8">
        <f>IF(H633&lt;&gt;"",H633,G633)</f>
        <v/>
      </c>
    </row>
    <row r="634">
      <c r="A634" s="9" t="n"/>
      <c r="B634" s="9" t="n"/>
      <c r="C634" s="9" t="n"/>
      <c r="D634" s="9" t="n"/>
      <c r="E634" s="9" t="n"/>
      <c r="F634" s="8">
        <f>IF(A634="","",IFERROR(INDEX(Testes!$N$2:$N$500,MATCH(A634,Testes!$A$2:$A$500,0)),""))</f>
        <v/>
      </c>
      <c r="G634" s="8">
        <f>IF(F634="ocorrência","VP",IF(F634="sem ocorrência","FP",""))</f>
        <v/>
      </c>
      <c r="H634" s="7" t="n"/>
      <c r="I634" s="8">
        <f>IF(H634&lt;&gt;"",H634,G634)</f>
        <v/>
      </c>
    </row>
    <row r="635">
      <c r="A635" s="9" t="n"/>
      <c r="B635" s="9" t="n"/>
      <c r="C635" s="9" t="n"/>
      <c r="D635" s="9" t="n"/>
      <c r="E635" s="9" t="n"/>
      <c r="F635" s="8">
        <f>IF(A635="","",IFERROR(INDEX(Testes!$N$2:$N$500,MATCH(A635,Testes!$A$2:$A$500,0)),""))</f>
        <v/>
      </c>
      <c r="G635" s="8">
        <f>IF(F635="ocorrência","VP",IF(F635="sem ocorrência","FP",""))</f>
        <v/>
      </c>
      <c r="H635" s="7" t="n"/>
      <c r="I635" s="8">
        <f>IF(H635&lt;&gt;"",H635,G635)</f>
        <v/>
      </c>
    </row>
    <row r="636">
      <c r="A636" s="9" t="n"/>
      <c r="B636" s="9" t="n"/>
      <c r="C636" s="9" t="n"/>
      <c r="D636" s="9" t="n"/>
      <c r="E636" s="9" t="n"/>
      <c r="F636" s="8">
        <f>IF(A636="","",IFERROR(INDEX(Testes!$N$2:$N$500,MATCH(A636,Testes!$A$2:$A$500,0)),""))</f>
        <v/>
      </c>
      <c r="G636" s="8">
        <f>IF(F636="ocorrência","VP",IF(F636="sem ocorrência","FP",""))</f>
        <v/>
      </c>
      <c r="H636" s="7" t="n"/>
      <c r="I636" s="8">
        <f>IF(H636&lt;&gt;"",H636,G636)</f>
        <v/>
      </c>
    </row>
    <row r="637">
      <c r="A637" s="9" t="n"/>
      <c r="B637" s="9" t="n"/>
      <c r="C637" s="9" t="n"/>
      <c r="D637" s="9" t="n"/>
      <c r="E637" s="9" t="n"/>
      <c r="F637" s="8">
        <f>IF(A637="","",IFERROR(INDEX(Testes!$N$2:$N$500,MATCH(A637,Testes!$A$2:$A$500,0)),""))</f>
        <v/>
      </c>
      <c r="G637" s="8">
        <f>IF(F637="ocorrência","VP",IF(F637="sem ocorrência","FP",""))</f>
        <v/>
      </c>
      <c r="H637" s="7" t="n"/>
      <c r="I637" s="8">
        <f>IF(H637&lt;&gt;"",H637,G637)</f>
        <v/>
      </c>
    </row>
    <row r="638">
      <c r="A638" s="9" t="n"/>
      <c r="B638" s="9" t="n"/>
      <c r="C638" s="9" t="n"/>
      <c r="D638" s="9" t="n"/>
      <c r="E638" s="9" t="n"/>
      <c r="F638" s="8">
        <f>IF(A638="","",IFERROR(INDEX(Testes!$N$2:$N$500,MATCH(A638,Testes!$A$2:$A$500,0)),""))</f>
        <v/>
      </c>
      <c r="G638" s="8">
        <f>IF(F638="ocorrência","VP",IF(F638="sem ocorrência","FP",""))</f>
        <v/>
      </c>
      <c r="H638" s="7" t="n"/>
      <c r="I638" s="8">
        <f>IF(H638&lt;&gt;"",H638,G638)</f>
        <v/>
      </c>
    </row>
    <row r="639">
      <c r="A639" s="9" t="n"/>
      <c r="B639" s="9" t="n"/>
      <c r="C639" s="9" t="n"/>
      <c r="D639" s="9" t="n"/>
      <c r="E639" s="9" t="n"/>
      <c r="F639" s="8">
        <f>IF(A639="","",IFERROR(INDEX(Testes!$N$2:$N$500,MATCH(A639,Testes!$A$2:$A$500,0)),""))</f>
        <v/>
      </c>
      <c r="G639" s="8">
        <f>IF(F639="ocorrência","VP",IF(F639="sem ocorrência","FP",""))</f>
        <v/>
      </c>
      <c r="H639" s="7" t="n"/>
      <c r="I639" s="8">
        <f>IF(H639&lt;&gt;"",H639,G639)</f>
        <v/>
      </c>
    </row>
    <row r="640">
      <c r="A640" s="9" t="n"/>
      <c r="B640" s="9" t="n"/>
      <c r="C640" s="9" t="n"/>
      <c r="D640" s="9" t="n"/>
      <c r="E640" s="9" t="n"/>
      <c r="F640" s="8">
        <f>IF(A640="","",IFERROR(INDEX(Testes!$N$2:$N$500,MATCH(A640,Testes!$A$2:$A$500,0)),""))</f>
        <v/>
      </c>
      <c r="G640" s="8">
        <f>IF(F640="ocorrência","VP",IF(F640="sem ocorrência","FP",""))</f>
        <v/>
      </c>
      <c r="H640" s="7" t="n"/>
      <c r="I640" s="8">
        <f>IF(H640&lt;&gt;"",H640,G640)</f>
        <v/>
      </c>
    </row>
    <row r="641">
      <c r="A641" s="9" t="n"/>
      <c r="B641" s="9" t="n"/>
      <c r="C641" s="9" t="n"/>
      <c r="D641" s="9" t="n"/>
      <c r="E641" s="9" t="n"/>
      <c r="F641" s="8">
        <f>IF(A641="","",IFERROR(INDEX(Testes!$N$2:$N$500,MATCH(A641,Testes!$A$2:$A$500,0)),""))</f>
        <v/>
      </c>
      <c r="G641" s="8">
        <f>IF(F641="ocorrência","VP",IF(F641="sem ocorrência","FP",""))</f>
        <v/>
      </c>
      <c r="H641" s="7" t="n"/>
      <c r="I641" s="8">
        <f>IF(H641&lt;&gt;"",H641,G641)</f>
        <v/>
      </c>
    </row>
    <row r="642">
      <c r="A642" s="9" t="n"/>
      <c r="B642" s="9" t="n"/>
      <c r="C642" s="9" t="n"/>
      <c r="D642" s="9" t="n"/>
      <c r="E642" s="9" t="n"/>
      <c r="F642" s="8">
        <f>IF(A642="","",IFERROR(INDEX(Testes!$N$2:$N$500,MATCH(A642,Testes!$A$2:$A$500,0)),""))</f>
        <v/>
      </c>
      <c r="G642" s="8">
        <f>IF(F642="ocorrência","VP",IF(F642="sem ocorrência","FP",""))</f>
        <v/>
      </c>
      <c r="H642" s="7" t="n"/>
      <c r="I642" s="8">
        <f>IF(H642&lt;&gt;"",H642,G642)</f>
        <v/>
      </c>
    </row>
    <row r="643">
      <c r="A643" s="9" t="n"/>
      <c r="B643" s="9" t="n"/>
      <c r="C643" s="9" t="n"/>
      <c r="D643" s="9" t="n"/>
      <c r="E643" s="9" t="n"/>
      <c r="F643" s="8">
        <f>IF(A643="","",IFERROR(INDEX(Testes!$N$2:$N$500,MATCH(A643,Testes!$A$2:$A$500,0)),""))</f>
        <v/>
      </c>
      <c r="G643" s="8">
        <f>IF(F643="ocorrência","VP",IF(F643="sem ocorrência","FP",""))</f>
        <v/>
      </c>
      <c r="H643" s="7" t="n"/>
      <c r="I643" s="8">
        <f>IF(H643&lt;&gt;"",H643,G643)</f>
        <v/>
      </c>
    </row>
    <row r="644">
      <c r="A644" s="9" t="n"/>
      <c r="B644" s="9" t="n"/>
      <c r="C644" s="9" t="n"/>
      <c r="D644" s="9" t="n"/>
      <c r="E644" s="9" t="n"/>
      <c r="F644" s="8">
        <f>IF(A644="","",IFERROR(INDEX(Testes!$N$2:$N$500,MATCH(A644,Testes!$A$2:$A$500,0)),""))</f>
        <v/>
      </c>
      <c r="G644" s="8">
        <f>IF(F644="ocorrência","VP",IF(F644="sem ocorrência","FP",""))</f>
        <v/>
      </c>
      <c r="H644" s="7" t="n"/>
      <c r="I644" s="8">
        <f>IF(H644&lt;&gt;"",H644,G644)</f>
        <v/>
      </c>
    </row>
    <row r="645">
      <c r="A645" s="9" t="n"/>
      <c r="B645" s="9" t="n"/>
      <c r="C645" s="9" t="n"/>
      <c r="D645" s="9" t="n"/>
      <c r="E645" s="9" t="n"/>
      <c r="F645" s="8">
        <f>IF(A645="","",IFERROR(INDEX(Testes!$N$2:$N$500,MATCH(A645,Testes!$A$2:$A$500,0)),""))</f>
        <v/>
      </c>
      <c r="G645" s="8">
        <f>IF(F645="ocorrência","VP",IF(F645="sem ocorrência","FP",""))</f>
        <v/>
      </c>
      <c r="H645" s="7" t="n"/>
      <c r="I645" s="8">
        <f>IF(H645&lt;&gt;"",H645,G645)</f>
        <v/>
      </c>
    </row>
    <row r="646">
      <c r="A646" s="9" t="n"/>
      <c r="B646" s="9" t="n"/>
      <c r="C646" s="9" t="n"/>
      <c r="D646" s="9" t="n"/>
      <c r="E646" s="9" t="n"/>
      <c r="F646" s="8">
        <f>IF(A646="","",IFERROR(INDEX(Testes!$N$2:$N$500,MATCH(A646,Testes!$A$2:$A$500,0)),""))</f>
        <v/>
      </c>
      <c r="G646" s="8">
        <f>IF(F646="ocorrência","VP",IF(F646="sem ocorrência","FP",""))</f>
        <v/>
      </c>
      <c r="H646" s="7" t="n"/>
      <c r="I646" s="8">
        <f>IF(H646&lt;&gt;"",H646,G646)</f>
        <v/>
      </c>
    </row>
    <row r="647">
      <c r="A647" s="9" t="n"/>
      <c r="B647" s="9" t="n"/>
      <c r="C647" s="9" t="n"/>
      <c r="D647" s="9" t="n"/>
      <c r="E647" s="9" t="n"/>
      <c r="F647" s="8">
        <f>IF(A647="","",IFERROR(INDEX(Testes!$N$2:$N$500,MATCH(A647,Testes!$A$2:$A$500,0)),""))</f>
        <v/>
      </c>
      <c r="G647" s="8">
        <f>IF(F647="ocorrência","VP",IF(F647="sem ocorrência","FP",""))</f>
        <v/>
      </c>
      <c r="H647" s="7" t="n"/>
      <c r="I647" s="8">
        <f>IF(H647&lt;&gt;"",H647,G647)</f>
        <v/>
      </c>
    </row>
    <row r="648">
      <c r="A648" s="9" t="n"/>
      <c r="B648" s="9" t="n"/>
      <c r="C648" s="9" t="n"/>
      <c r="D648" s="9" t="n"/>
      <c r="E648" s="9" t="n"/>
      <c r="F648" s="8">
        <f>IF(A648="","",IFERROR(INDEX(Testes!$N$2:$N$500,MATCH(A648,Testes!$A$2:$A$500,0)),""))</f>
        <v/>
      </c>
      <c r="G648" s="8">
        <f>IF(F648="ocorrência","VP",IF(F648="sem ocorrência","FP",""))</f>
        <v/>
      </c>
      <c r="H648" s="7" t="n"/>
      <c r="I648" s="8">
        <f>IF(H648&lt;&gt;"",H648,G648)</f>
        <v/>
      </c>
    </row>
    <row r="649">
      <c r="A649" s="9" t="n"/>
      <c r="B649" s="9" t="n"/>
      <c r="C649" s="9" t="n"/>
      <c r="D649" s="9" t="n"/>
      <c r="E649" s="9" t="n"/>
      <c r="F649" s="8">
        <f>IF(A649="","",IFERROR(INDEX(Testes!$N$2:$N$500,MATCH(A649,Testes!$A$2:$A$500,0)),""))</f>
        <v/>
      </c>
      <c r="G649" s="8">
        <f>IF(F649="ocorrência","VP",IF(F649="sem ocorrência","FP",""))</f>
        <v/>
      </c>
      <c r="H649" s="7" t="n"/>
      <c r="I649" s="8">
        <f>IF(H649&lt;&gt;"",H649,G649)</f>
        <v/>
      </c>
    </row>
    <row r="650">
      <c r="A650" s="9" t="n"/>
      <c r="B650" s="9" t="n"/>
      <c r="C650" s="9" t="n"/>
      <c r="D650" s="9" t="n"/>
      <c r="E650" s="9" t="n"/>
      <c r="F650" s="8">
        <f>IF(A650="","",IFERROR(INDEX(Testes!$N$2:$N$500,MATCH(A650,Testes!$A$2:$A$500,0)),""))</f>
        <v/>
      </c>
      <c r="G650" s="8">
        <f>IF(F650="ocorrência","VP",IF(F650="sem ocorrência","FP",""))</f>
        <v/>
      </c>
      <c r="H650" s="7" t="n"/>
      <c r="I650" s="8">
        <f>IF(H650&lt;&gt;"",H650,G650)</f>
        <v/>
      </c>
    </row>
    <row r="651">
      <c r="A651" s="9" t="n"/>
      <c r="B651" s="9" t="n"/>
      <c r="C651" s="9" t="n"/>
      <c r="D651" s="9" t="n"/>
      <c r="E651" s="9" t="n"/>
      <c r="F651" s="8">
        <f>IF(A651="","",IFERROR(INDEX(Testes!$N$2:$N$500,MATCH(A651,Testes!$A$2:$A$500,0)),""))</f>
        <v/>
      </c>
      <c r="G651" s="8">
        <f>IF(F651="ocorrência","VP",IF(F651="sem ocorrência","FP",""))</f>
        <v/>
      </c>
      <c r="H651" s="7" t="n"/>
      <c r="I651" s="8">
        <f>IF(H651&lt;&gt;"",H651,G651)</f>
        <v/>
      </c>
    </row>
    <row r="652">
      <c r="A652" s="9" t="n"/>
      <c r="B652" s="9" t="n"/>
      <c r="C652" s="9" t="n"/>
      <c r="D652" s="9" t="n"/>
      <c r="E652" s="9" t="n"/>
      <c r="F652" s="8">
        <f>IF(A652="","",IFERROR(INDEX(Testes!$N$2:$N$500,MATCH(A652,Testes!$A$2:$A$500,0)),""))</f>
        <v/>
      </c>
      <c r="G652" s="8">
        <f>IF(F652="ocorrência","VP",IF(F652="sem ocorrência","FP",""))</f>
        <v/>
      </c>
      <c r="H652" s="7" t="n"/>
      <c r="I652" s="8">
        <f>IF(H652&lt;&gt;"",H652,G652)</f>
        <v/>
      </c>
    </row>
    <row r="653">
      <c r="A653" s="9" t="n"/>
      <c r="B653" s="9" t="n"/>
      <c r="C653" s="9" t="n"/>
      <c r="D653" s="9" t="n"/>
      <c r="E653" s="9" t="n"/>
      <c r="F653" s="8">
        <f>IF(A653="","",IFERROR(INDEX(Testes!$N$2:$N$500,MATCH(A653,Testes!$A$2:$A$500,0)),""))</f>
        <v/>
      </c>
      <c r="G653" s="8">
        <f>IF(F653="ocorrência","VP",IF(F653="sem ocorrência","FP",""))</f>
        <v/>
      </c>
      <c r="H653" s="7" t="n"/>
      <c r="I653" s="8">
        <f>IF(H653&lt;&gt;"",H653,G653)</f>
        <v/>
      </c>
    </row>
    <row r="654">
      <c r="A654" s="9" t="n"/>
      <c r="B654" s="9" t="n"/>
      <c r="C654" s="9" t="n"/>
      <c r="D654" s="9" t="n"/>
      <c r="E654" s="9" t="n"/>
      <c r="F654" s="8">
        <f>IF(A654="","",IFERROR(INDEX(Testes!$N$2:$N$500,MATCH(A654,Testes!$A$2:$A$500,0)),""))</f>
        <v/>
      </c>
      <c r="G654" s="8">
        <f>IF(F654="ocorrência","VP",IF(F654="sem ocorrência","FP",""))</f>
        <v/>
      </c>
      <c r="H654" s="7" t="n"/>
      <c r="I654" s="8">
        <f>IF(H654&lt;&gt;"",H654,G654)</f>
        <v/>
      </c>
    </row>
    <row r="655">
      <c r="A655" s="9" t="n"/>
      <c r="B655" s="9" t="n"/>
      <c r="C655" s="9" t="n"/>
      <c r="D655" s="9" t="n"/>
      <c r="E655" s="9" t="n"/>
      <c r="F655" s="8">
        <f>IF(A655="","",IFERROR(INDEX(Testes!$N$2:$N$500,MATCH(A655,Testes!$A$2:$A$500,0)),""))</f>
        <v/>
      </c>
      <c r="G655" s="8">
        <f>IF(F655="ocorrência","VP",IF(F655="sem ocorrência","FP",""))</f>
        <v/>
      </c>
      <c r="H655" s="7" t="n"/>
      <c r="I655" s="8">
        <f>IF(H655&lt;&gt;"",H655,G655)</f>
        <v/>
      </c>
    </row>
    <row r="656">
      <c r="A656" s="9" t="n"/>
      <c r="B656" s="9" t="n"/>
      <c r="C656" s="9" t="n"/>
      <c r="D656" s="9" t="n"/>
      <c r="E656" s="9" t="n"/>
      <c r="F656" s="8">
        <f>IF(A656="","",IFERROR(INDEX(Testes!$N$2:$N$500,MATCH(A656,Testes!$A$2:$A$500,0)),""))</f>
        <v/>
      </c>
      <c r="G656" s="8">
        <f>IF(F656="ocorrência","VP",IF(F656="sem ocorrência","FP",""))</f>
        <v/>
      </c>
      <c r="H656" s="7" t="n"/>
      <c r="I656" s="8">
        <f>IF(H656&lt;&gt;"",H656,G656)</f>
        <v/>
      </c>
    </row>
    <row r="657">
      <c r="A657" s="9" t="n"/>
      <c r="B657" s="9" t="n"/>
      <c r="C657" s="9" t="n"/>
      <c r="D657" s="9" t="n"/>
      <c r="E657" s="9" t="n"/>
      <c r="F657" s="8">
        <f>IF(A657="","",IFERROR(INDEX(Testes!$N$2:$N$500,MATCH(A657,Testes!$A$2:$A$500,0)),""))</f>
        <v/>
      </c>
      <c r="G657" s="8">
        <f>IF(F657="ocorrência","VP",IF(F657="sem ocorrência","FP",""))</f>
        <v/>
      </c>
      <c r="H657" s="7" t="n"/>
      <c r="I657" s="8">
        <f>IF(H657&lt;&gt;"",H657,G657)</f>
        <v/>
      </c>
    </row>
    <row r="658">
      <c r="A658" s="9" t="n"/>
      <c r="B658" s="9" t="n"/>
      <c r="C658" s="9" t="n"/>
      <c r="D658" s="9" t="n"/>
      <c r="E658" s="9" t="n"/>
      <c r="F658" s="8">
        <f>IF(A658="","",IFERROR(INDEX(Testes!$N$2:$N$500,MATCH(A658,Testes!$A$2:$A$500,0)),""))</f>
        <v/>
      </c>
      <c r="G658" s="8">
        <f>IF(F658="ocorrência","VP",IF(F658="sem ocorrência","FP",""))</f>
        <v/>
      </c>
      <c r="H658" s="7" t="n"/>
      <c r="I658" s="8">
        <f>IF(H658&lt;&gt;"",H658,G658)</f>
        <v/>
      </c>
    </row>
    <row r="659">
      <c r="A659" s="9" t="n"/>
      <c r="B659" s="9" t="n"/>
      <c r="C659" s="9" t="n"/>
      <c r="D659" s="9" t="n"/>
      <c r="E659" s="9" t="n"/>
      <c r="F659" s="8">
        <f>IF(A659="","",IFERROR(INDEX(Testes!$N$2:$N$500,MATCH(A659,Testes!$A$2:$A$500,0)),""))</f>
        <v/>
      </c>
      <c r="G659" s="8">
        <f>IF(F659="ocorrência","VP",IF(F659="sem ocorrência","FP",""))</f>
        <v/>
      </c>
      <c r="H659" s="7" t="n"/>
      <c r="I659" s="8">
        <f>IF(H659&lt;&gt;"",H659,G659)</f>
        <v/>
      </c>
    </row>
    <row r="660">
      <c r="A660" s="9" t="n"/>
      <c r="B660" s="9" t="n"/>
      <c r="C660" s="9" t="n"/>
      <c r="D660" s="9" t="n"/>
      <c r="E660" s="9" t="n"/>
      <c r="F660" s="8">
        <f>IF(A660="","",IFERROR(INDEX(Testes!$N$2:$N$500,MATCH(A660,Testes!$A$2:$A$500,0)),""))</f>
        <v/>
      </c>
      <c r="G660" s="8">
        <f>IF(F660="ocorrência","VP",IF(F660="sem ocorrência","FP",""))</f>
        <v/>
      </c>
      <c r="H660" s="7" t="n"/>
      <c r="I660" s="8">
        <f>IF(H660&lt;&gt;"",H660,G660)</f>
        <v/>
      </c>
    </row>
    <row r="661">
      <c r="A661" s="9" t="n"/>
      <c r="B661" s="9" t="n"/>
      <c r="C661" s="9" t="n"/>
      <c r="D661" s="9" t="n"/>
      <c r="E661" s="9" t="n"/>
      <c r="F661" s="8">
        <f>IF(A661="","",IFERROR(INDEX(Testes!$N$2:$N$500,MATCH(A661,Testes!$A$2:$A$500,0)),""))</f>
        <v/>
      </c>
      <c r="G661" s="8">
        <f>IF(F661="ocorrência","VP",IF(F661="sem ocorrência","FP",""))</f>
        <v/>
      </c>
      <c r="H661" s="7" t="n"/>
      <c r="I661" s="8">
        <f>IF(H661&lt;&gt;"",H661,G661)</f>
        <v/>
      </c>
    </row>
    <row r="662">
      <c r="A662" s="9" t="n"/>
      <c r="B662" s="9" t="n"/>
      <c r="C662" s="9" t="n"/>
      <c r="D662" s="9" t="n"/>
      <c r="E662" s="9" t="n"/>
      <c r="F662" s="8">
        <f>IF(A662="","",IFERROR(INDEX(Testes!$N$2:$N$500,MATCH(A662,Testes!$A$2:$A$500,0)),""))</f>
        <v/>
      </c>
      <c r="G662" s="8">
        <f>IF(F662="ocorrência","VP",IF(F662="sem ocorrência","FP",""))</f>
        <v/>
      </c>
      <c r="H662" s="7" t="n"/>
      <c r="I662" s="8">
        <f>IF(H662&lt;&gt;"",H662,G662)</f>
        <v/>
      </c>
    </row>
    <row r="663">
      <c r="A663" s="9" t="n"/>
      <c r="B663" s="9" t="n"/>
      <c r="C663" s="9" t="n"/>
      <c r="D663" s="9" t="n"/>
      <c r="E663" s="9" t="n"/>
      <c r="F663" s="8">
        <f>IF(A663="","",IFERROR(INDEX(Testes!$N$2:$N$500,MATCH(A663,Testes!$A$2:$A$500,0)),""))</f>
        <v/>
      </c>
      <c r="G663" s="8">
        <f>IF(F663="ocorrência","VP",IF(F663="sem ocorrência","FP",""))</f>
        <v/>
      </c>
      <c r="H663" s="7" t="n"/>
      <c r="I663" s="8">
        <f>IF(H663&lt;&gt;"",H663,G663)</f>
        <v/>
      </c>
    </row>
    <row r="664">
      <c r="A664" s="9" t="n"/>
      <c r="B664" s="9" t="n"/>
      <c r="C664" s="9" t="n"/>
      <c r="D664" s="9" t="n"/>
      <c r="E664" s="9" t="n"/>
      <c r="F664" s="8">
        <f>IF(A664="","",IFERROR(INDEX(Testes!$N$2:$N$500,MATCH(A664,Testes!$A$2:$A$500,0)),""))</f>
        <v/>
      </c>
      <c r="G664" s="8">
        <f>IF(F664="ocorrência","VP",IF(F664="sem ocorrência","FP",""))</f>
        <v/>
      </c>
      <c r="H664" s="7" t="n"/>
      <c r="I664" s="8">
        <f>IF(H664&lt;&gt;"",H664,G664)</f>
        <v/>
      </c>
    </row>
    <row r="665">
      <c r="A665" s="9" t="n"/>
      <c r="B665" s="9" t="n"/>
      <c r="C665" s="9" t="n"/>
      <c r="D665" s="9" t="n"/>
      <c r="E665" s="9" t="n"/>
      <c r="F665" s="8">
        <f>IF(A665="","",IFERROR(INDEX(Testes!$N$2:$N$500,MATCH(A665,Testes!$A$2:$A$500,0)),""))</f>
        <v/>
      </c>
      <c r="G665" s="8">
        <f>IF(F665="ocorrência","VP",IF(F665="sem ocorrência","FP",""))</f>
        <v/>
      </c>
      <c r="H665" s="7" t="n"/>
      <c r="I665" s="8">
        <f>IF(H665&lt;&gt;"",H665,G665)</f>
        <v/>
      </c>
    </row>
    <row r="666">
      <c r="A666" s="9" t="n"/>
      <c r="B666" s="9" t="n"/>
      <c r="C666" s="9" t="n"/>
      <c r="D666" s="9" t="n"/>
      <c r="E666" s="9" t="n"/>
      <c r="F666" s="8">
        <f>IF(A666="","",IFERROR(INDEX(Testes!$N$2:$N$500,MATCH(A666,Testes!$A$2:$A$500,0)),""))</f>
        <v/>
      </c>
      <c r="G666" s="8">
        <f>IF(F666="ocorrência","VP",IF(F666="sem ocorrência","FP",""))</f>
        <v/>
      </c>
      <c r="H666" s="7" t="n"/>
      <c r="I666" s="8">
        <f>IF(H666&lt;&gt;"",H666,G666)</f>
        <v/>
      </c>
    </row>
    <row r="667">
      <c r="A667" s="9" t="n"/>
      <c r="B667" s="9" t="n"/>
      <c r="C667" s="9" t="n"/>
      <c r="D667" s="9" t="n"/>
      <c r="E667" s="9" t="n"/>
      <c r="F667" s="8">
        <f>IF(A667="","",IFERROR(INDEX(Testes!$N$2:$N$500,MATCH(A667,Testes!$A$2:$A$500,0)),""))</f>
        <v/>
      </c>
      <c r="G667" s="8">
        <f>IF(F667="ocorrência","VP",IF(F667="sem ocorrência","FP",""))</f>
        <v/>
      </c>
      <c r="H667" s="7" t="n"/>
      <c r="I667" s="8">
        <f>IF(H667&lt;&gt;"",H667,G667)</f>
        <v/>
      </c>
    </row>
    <row r="668">
      <c r="A668" s="9" t="n"/>
      <c r="B668" s="9" t="n"/>
      <c r="C668" s="9" t="n"/>
      <c r="D668" s="9" t="n"/>
      <c r="E668" s="9" t="n"/>
      <c r="F668" s="8">
        <f>IF(A668="","",IFERROR(INDEX(Testes!$N$2:$N$500,MATCH(A668,Testes!$A$2:$A$500,0)),""))</f>
        <v/>
      </c>
      <c r="G668" s="8">
        <f>IF(F668="ocorrência","VP",IF(F668="sem ocorrência","FP",""))</f>
        <v/>
      </c>
      <c r="H668" s="7" t="n"/>
      <c r="I668" s="8">
        <f>IF(H668&lt;&gt;"",H668,G668)</f>
        <v/>
      </c>
    </row>
    <row r="669">
      <c r="A669" s="9" t="n"/>
      <c r="B669" s="9" t="n"/>
      <c r="C669" s="9" t="n"/>
      <c r="D669" s="9" t="n"/>
      <c r="E669" s="9" t="n"/>
      <c r="F669" s="8">
        <f>IF(A669="","",IFERROR(INDEX(Testes!$N$2:$N$500,MATCH(A669,Testes!$A$2:$A$500,0)),""))</f>
        <v/>
      </c>
      <c r="G669" s="8">
        <f>IF(F669="ocorrência","VP",IF(F669="sem ocorrência","FP",""))</f>
        <v/>
      </c>
      <c r="H669" s="7" t="n"/>
      <c r="I669" s="8">
        <f>IF(H669&lt;&gt;"",H669,G669)</f>
        <v/>
      </c>
    </row>
    <row r="670">
      <c r="A670" s="9" t="n"/>
      <c r="B670" s="9" t="n"/>
      <c r="C670" s="9" t="n"/>
      <c r="D670" s="9" t="n"/>
      <c r="E670" s="9" t="n"/>
      <c r="F670" s="8">
        <f>IF(A670="","",IFERROR(INDEX(Testes!$N$2:$N$500,MATCH(A670,Testes!$A$2:$A$500,0)),""))</f>
        <v/>
      </c>
      <c r="G670" s="8">
        <f>IF(F670="ocorrência","VP",IF(F670="sem ocorrência","FP",""))</f>
        <v/>
      </c>
      <c r="H670" s="7" t="n"/>
      <c r="I670" s="8">
        <f>IF(H670&lt;&gt;"",H670,G670)</f>
        <v/>
      </c>
    </row>
    <row r="671">
      <c r="A671" s="9" t="n"/>
      <c r="B671" s="9" t="n"/>
      <c r="C671" s="9" t="n"/>
      <c r="D671" s="9" t="n"/>
      <c r="E671" s="9" t="n"/>
      <c r="F671" s="8">
        <f>IF(A671="","",IFERROR(INDEX(Testes!$N$2:$N$500,MATCH(A671,Testes!$A$2:$A$500,0)),""))</f>
        <v/>
      </c>
      <c r="G671" s="8">
        <f>IF(F671="ocorrência","VP",IF(F671="sem ocorrência","FP",""))</f>
        <v/>
      </c>
      <c r="H671" s="7" t="n"/>
      <c r="I671" s="8">
        <f>IF(H671&lt;&gt;"",H671,G671)</f>
        <v/>
      </c>
    </row>
    <row r="672">
      <c r="A672" s="9" t="n"/>
      <c r="B672" s="9" t="n"/>
      <c r="C672" s="9" t="n"/>
      <c r="D672" s="9" t="n"/>
      <c r="E672" s="9" t="n"/>
      <c r="F672" s="8">
        <f>IF(A672="","",IFERROR(INDEX(Testes!$N$2:$N$500,MATCH(A672,Testes!$A$2:$A$500,0)),""))</f>
        <v/>
      </c>
      <c r="G672" s="8">
        <f>IF(F672="ocorrência","VP",IF(F672="sem ocorrência","FP",""))</f>
        <v/>
      </c>
      <c r="H672" s="7" t="n"/>
      <c r="I672" s="8">
        <f>IF(H672&lt;&gt;"",H672,G672)</f>
        <v/>
      </c>
    </row>
    <row r="673">
      <c r="A673" s="9" t="n"/>
      <c r="B673" s="9" t="n"/>
      <c r="C673" s="9" t="n"/>
      <c r="D673" s="9" t="n"/>
      <c r="E673" s="9" t="n"/>
      <c r="F673" s="8">
        <f>IF(A673="","",IFERROR(INDEX(Testes!$N$2:$N$500,MATCH(A673,Testes!$A$2:$A$500,0)),""))</f>
        <v/>
      </c>
      <c r="G673" s="8">
        <f>IF(F673="ocorrência","VP",IF(F673="sem ocorrência","FP",""))</f>
        <v/>
      </c>
      <c r="H673" s="7" t="n"/>
      <c r="I673" s="8">
        <f>IF(H673&lt;&gt;"",H673,G673)</f>
        <v/>
      </c>
    </row>
    <row r="674">
      <c r="A674" s="9" t="n"/>
      <c r="B674" s="9" t="n"/>
      <c r="C674" s="9" t="n"/>
      <c r="D674" s="9" t="n"/>
      <c r="E674" s="9" t="n"/>
      <c r="F674" s="8">
        <f>IF(A674="","",IFERROR(INDEX(Testes!$N$2:$N$500,MATCH(A674,Testes!$A$2:$A$500,0)),""))</f>
        <v/>
      </c>
      <c r="G674" s="8">
        <f>IF(F674="ocorrência","VP",IF(F674="sem ocorrência","FP",""))</f>
        <v/>
      </c>
      <c r="H674" s="7" t="n"/>
      <c r="I674" s="8">
        <f>IF(H674&lt;&gt;"",H674,G674)</f>
        <v/>
      </c>
    </row>
    <row r="675">
      <c r="A675" s="9" t="n"/>
      <c r="B675" s="9" t="n"/>
      <c r="C675" s="9" t="n"/>
      <c r="D675" s="9" t="n"/>
      <c r="E675" s="9" t="n"/>
      <c r="F675" s="8">
        <f>IF(A675="","",IFERROR(INDEX(Testes!$N$2:$N$500,MATCH(A675,Testes!$A$2:$A$500,0)),""))</f>
        <v/>
      </c>
      <c r="G675" s="8">
        <f>IF(F675="ocorrência","VP",IF(F675="sem ocorrência","FP",""))</f>
        <v/>
      </c>
      <c r="H675" s="7" t="n"/>
      <c r="I675" s="8">
        <f>IF(H675&lt;&gt;"",H675,G675)</f>
        <v/>
      </c>
    </row>
    <row r="676">
      <c r="A676" s="9" t="n"/>
      <c r="B676" s="9" t="n"/>
      <c r="C676" s="9" t="n"/>
      <c r="D676" s="9" t="n"/>
      <c r="E676" s="9" t="n"/>
      <c r="F676" s="8">
        <f>IF(A676="","",IFERROR(INDEX(Testes!$N$2:$N$500,MATCH(A676,Testes!$A$2:$A$500,0)),""))</f>
        <v/>
      </c>
      <c r="G676" s="8">
        <f>IF(F676="ocorrência","VP",IF(F676="sem ocorrência","FP",""))</f>
        <v/>
      </c>
      <c r="H676" s="7" t="n"/>
      <c r="I676" s="8">
        <f>IF(H676&lt;&gt;"",H676,G676)</f>
        <v/>
      </c>
    </row>
    <row r="677">
      <c r="A677" s="9" t="n"/>
      <c r="B677" s="9" t="n"/>
      <c r="C677" s="9" t="n"/>
      <c r="D677" s="9" t="n"/>
      <c r="E677" s="9" t="n"/>
      <c r="F677" s="8">
        <f>IF(A677="","",IFERROR(INDEX(Testes!$N$2:$N$500,MATCH(A677,Testes!$A$2:$A$500,0)),""))</f>
        <v/>
      </c>
      <c r="G677" s="8">
        <f>IF(F677="ocorrência","VP",IF(F677="sem ocorrência","FP",""))</f>
        <v/>
      </c>
      <c r="H677" s="7" t="n"/>
      <c r="I677" s="8">
        <f>IF(H677&lt;&gt;"",H677,G677)</f>
        <v/>
      </c>
    </row>
    <row r="678">
      <c r="A678" s="9" t="n"/>
      <c r="B678" s="9" t="n"/>
      <c r="C678" s="9" t="n"/>
      <c r="D678" s="9" t="n"/>
      <c r="E678" s="9" t="n"/>
      <c r="F678" s="8">
        <f>IF(A678="","",IFERROR(INDEX(Testes!$N$2:$N$500,MATCH(A678,Testes!$A$2:$A$500,0)),""))</f>
        <v/>
      </c>
      <c r="G678" s="8">
        <f>IF(F678="ocorrência","VP",IF(F678="sem ocorrência","FP",""))</f>
        <v/>
      </c>
      <c r="H678" s="7" t="n"/>
      <c r="I678" s="8">
        <f>IF(H678&lt;&gt;"",H678,G678)</f>
        <v/>
      </c>
    </row>
    <row r="679">
      <c r="A679" s="9" t="n"/>
      <c r="B679" s="9" t="n"/>
      <c r="C679" s="9" t="n"/>
      <c r="D679" s="9" t="n"/>
      <c r="E679" s="9" t="n"/>
      <c r="F679" s="8">
        <f>IF(A679="","",IFERROR(INDEX(Testes!$N$2:$N$500,MATCH(A679,Testes!$A$2:$A$500,0)),""))</f>
        <v/>
      </c>
      <c r="G679" s="8">
        <f>IF(F679="ocorrência","VP",IF(F679="sem ocorrência","FP",""))</f>
        <v/>
      </c>
      <c r="H679" s="7" t="n"/>
      <c r="I679" s="8">
        <f>IF(H679&lt;&gt;"",H679,G679)</f>
        <v/>
      </c>
    </row>
    <row r="680">
      <c r="A680" s="9" t="n"/>
      <c r="B680" s="9" t="n"/>
      <c r="C680" s="9" t="n"/>
      <c r="D680" s="9" t="n"/>
      <c r="E680" s="9" t="n"/>
      <c r="F680" s="8">
        <f>IF(A680="","",IFERROR(INDEX(Testes!$N$2:$N$500,MATCH(A680,Testes!$A$2:$A$500,0)),""))</f>
        <v/>
      </c>
      <c r="G680" s="8">
        <f>IF(F680="ocorrência","VP",IF(F680="sem ocorrência","FP",""))</f>
        <v/>
      </c>
      <c r="H680" s="7" t="n"/>
      <c r="I680" s="8">
        <f>IF(H680&lt;&gt;"",H680,G680)</f>
        <v/>
      </c>
    </row>
    <row r="681">
      <c r="A681" s="9" t="n"/>
      <c r="B681" s="9" t="n"/>
      <c r="C681" s="9" t="n"/>
      <c r="D681" s="9" t="n"/>
      <c r="E681" s="9" t="n"/>
      <c r="F681" s="8">
        <f>IF(A681="","",IFERROR(INDEX(Testes!$N$2:$N$500,MATCH(A681,Testes!$A$2:$A$500,0)),""))</f>
        <v/>
      </c>
      <c r="G681" s="8">
        <f>IF(F681="ocorrência","VP",IF(F681="sem ocorrência","FP",""))</f>
        <v/>
      </c>
      <c r="H681" s="7" t="n"/>
      <c r="I681" s="8">
        <f>IF(H681&lt;&gt;"",H681,G681)</f>
        <v/>
      </c>
    </row>
    <row r="682">
      <c r="A682" s="9" t="n"/>
      <c r="B682" s="9" t="n"/>
      <c r="C682" s="9" t="n"/>
      <c r="D682" s="9" t="n"/>
      <c r="E682" s="9" t="n"/>
      <c r="F682" s="8">
        <f>IF(A682="","",IFERROR(INDEX(Testes!$N$2:$N$500,MATCH(A682,Testes!$A$2:$A$500,0)),""))</f>
        <v/>
      </c>
      <c r="G682" s="8">
        <f>IF(F682="ocorrência","VP",IF(F682="sem ocorrência","FP",""))</f>
        <v/>
      </c>
      <c r="H682" s="7" t="n"/>
      <c r="I682" s="8">
        <f>IF(H682&lt;&gt;"",H682,G682)</f>
        <v/>
      </c>
    </row>
    <row r="683">
      <c r="A683" s="9" t="n"/>
      <c r="B683" s="9" t="n"/>
      <c r="C683" s="9" t="n"/>
      <c r="D683" s="9" t="n"/>
      <c r="E683" s="9" t="n"/>
      <c r="F683" s="8">
        <f>IF(A683="","",IFERROR(INDEX(Testes!$N$2:$N$500,MATCH(A683,Testes!$A$2:$A$500,0)),""))</f>
        <v/>
      </c>
      <c r="G683" s="8">
        <f>IF(F683="ocorrência","VP",IF(F683="sem ocorrência","FP",""))</f>
        <v/>
      </c>
      <c r="H683" s="7" t="n"/>
      <c r="I683" s="8">
        <f>IF(H683&lt;&gt;"",H683,G683)</f>
        <v/>
      </c>
    </row>
    <row r="684">
      <c r="A684" s="9" t="n"/>
      <c r="B684" s="9" t="n"/>
      <c r="C684" s="9" t="n"/>
      <c r="D684" s="9" t="n"/>
      <c r="E684" s="9" t="n"/>
      <c r="F684" s="8">
        <f>IF(A684="","",IFERROR(INDEX(Testes!$N$2:$N$500,MATCH(A684,Testes!$A$2:$A$500,0)),""))</f>
        <v/>
      </c>
      <c r="G684" s="8">
        <f>IF(F684="ocorrência","VP",IF(F684="sem ocorrência","FP",""))</f>
        <v/>
      </c>
      <c r="H684" s="7" t="n"/>
      <c r="I684" s="8">
        <f>IF(H684&lt;&gt;"",H684,G684)</f>
        <v/>
      </c>
    </row>
    <row r="685">
      <c r="A685" s="9" t="n"/>
      <c r="B685" s="9" t="n"/>
      <c r="C685" s="9" t="n"/>
      <c r="D685" s="9" t="n"/>
      <c r="E685" s="9" t="n"/>
      <c r="F685" s="8">
        <f>IF(A685="","",IFERROR(INDEX(Testes!$N$2:$N$500,MATCH(A685,Testes!$A$2:$A$500,0)),""))</f>
        <v/>
      </c>
      <c r="G685" s="8">
        <f>IF(F685="ocorrência","VP",IF(F685="sem ocorrência","FP",""))</f>
        <v/>
      </c>
      <c r="H685" s="7" t="n"/>
      <c r="I685" s="8">
        <f>IF(H685&lt;&gt;"",H685,G685)</f>
        <v/>
      </c>
    </row>
    <row r="686">
      <c r="A686" s="9" t="n"/>
      <c r="B686" s="9" t="n"/>
      <c r="C686" s="9" t="n"/>
      <c r="D686" s="9" t="n"/>
      <c r="E686" s="9" t="n"/>
      <c r="F686" s="8">
        <f>IF(A686="","",IFERROR(INDEX(Testes!$N$2:$N$500,MATCH(A686,Testes!$A$2:$A$500,0)),""))</f>
        <v/>
      </c>
      <c r="G686" s="8">
        <f>IF(F686="ocorrência","VP",IF(F686="sem ocorrência","FP",""))</f>
        <v/>
      </c>
      <c r="H686" s="7" t="n"/>
      <c r="I686" s="8">
        <f>IF(H686&lt;&gt;"",H686,G686)</f>
        <v/>
      </c>
    </row>
    <row r="687">
      <c r="A687" s="9" t="n"/>
      <c r="B687" s="9" t="n"/>
      <c r="C687" s="9" t="n"/>
      <c r="D687" s="9" t="n"/>
      <c r="E687" s="9" t="n"/>
      <c r="F687" s="8">
        <f>IF(A687="","",IFERROR(INDEX(Testes!$N$2:$N$500,MATCH(A687,Testes!$A$2:$A$500,0)),""))</f>
        <v/>
      </c>
      <c r="G687" s="8">
        <f>IF(F687="ocorrência","VP",IF(F687="sem ocorrência","FP",""))</f>
        <v/>
      </c>
      <c r="H687" s="7" t="n"/>
      <c r="I687" s="8">
        <f>IF(H687&lt;&gt;"",H687,G687)</f>
        <v/>
      </c>
    </row>
    <row r="688">
      <c r="A688" s="9" t="n"/>
      <c r="B688" s="9" t="n"/>
      <c r="C688" s="9" t="n"/>
      <c r="D688" s="9" t="n"/>
      <c r="E688" s="9" t="n"/>
      <c r="F688" s="8">
        <f>IF(A688="","",IFERROR(INDEX(Testes!$N$2:$N$500,MATCH(A688,Testes!$A$2:$A$500,0)),""))</f>
        <v/>
      </c>
      <c r="G688" s="8">
        <f>IF(F688="ocorrência","VP",IF(F688="sem ocorrência","FP",""))</f>
        <v/>
      </c>
      <c r="H688" s="7" t="n"/>
      <c r="I688" s="8">
        <f>IF(H688&lt;&gt;"",H688,G688)</f>
        <v/>
      </c>
    </row>
    <row r="689">
      <c r="A689" s="9" t="n"/>
      <c r="B689" s="9" t="n"/>
      <c r="C689" s="9" t="n"/>
      <c r="D689" s="9" t="n"/>
      <c r="E689" s="9" t="n"/>
      <c r="F689" s="8">
        <f>IF(A689="","",IFERROR(INDEX(Testes!$N$2:$N$500,MATCH(A689,Testes!$A$2:$A$500,0)),""))</f>
        <v/>
      </c>
      <c r="G689" s="8">
        <f>IF(F689="ocorrência","VP",IF(F689="sem ocorrência","FP",""))</f>
        <v/>
      </c>
      <c r="H689" s="7" t="n"/>
      <c r="I689" s="8">
        <f>IF(H689&lt;&gt;"",H689,G689)</f>
        <v/>
      </c>
    </row>
    <row r="690">
      <c r="A690" s="9" t="n"/>
      <c r="B690" s="9" t="n"/>
      <c r="C690" s="9" t="n"/>
      <c r="D690" s="9" t="n"/>
      <c r="E690" s="9" t="n"/>
      <c r="F690" s="8">
        <f>IF(A690="","",IFERROR(INDEX(Testes!$N$2:$N$500,MATCH(A690,Testes!$A$2:$A$500,0)),""))</f>
        <v/>
      </c>
      <c r="G690" s="8">
        <f>IF(F690="ocorrência","VP",IF(F690="sem ocorrência","FP",""))</f>
        <v/>
      </c>
      <c r="H690" s="7" t="n"/>
      <c r="I690" s="8">
        <f>IF(H690&lt;&gt;"",H690,G690)</f>
        <v/>
      </c>
    </row>
    <row r="691">
      <c r="A691" s="9" t="n"/>
      <c r="B691" s="9" t="n"/>
      <c r="C691" s="9" t="n"/>
      <c r="D691" s="9" t="n"/>
      <c r="E691" s="9" t="n"/>
      <c r="F691" s="8">
        <f>IF(A691="","",IFERROR(INDEX(Testes!$N$2:$N$500,MATCH(A691,Testes!$A$2:$A$500,0)),""))</f>
        <v/>
      </c>
      <c r="G691" s="8">
        <f>IF(F691="ocorrência","VP",IF(F691="sem ocorrência","FP",""))</f>
        <v/>
      </c>
      <c r="H691" s="7" t="n"/>
      <c r="I691" s="8">
        <f>IF(H691&lt;&gt;"",H691,G691)</f>
        <v/>
      </c>
    </row>
    <row r="692">
      <c r="A692" s="9" t="n"/>
      <c r="B692" s="9" t="n"/>
      <c r="C692" s="9" t="n"/>
      <c r="D692" s="9" t="n"/>
      <c r="E692" s="9" t="n"/>
      <c r="F692" s="8">
        <f>IF(A692="","",IFERROR(INDEX(Testes!$N$2:$N$500,MATCH(A692,Testes!$A$2:$A$500,0)),""))</f>
        <v/>
      </c>
      <c r="G692" s="8">
        <f>IF(F692="ocorrência","VP",IF(F692="sem ocorrência","FP",""))</f>
        <v/>
      </c>
      <c r="H692" s="7" t="n"/>
      <c r="I692" s="8">
        <f>IF(H692&lt;&gt;"",H692,G692)</f>
        <v/>
      </c>
    </row>
    <row r="693">
      <c r="A693" s="9" t="n"/>
      <c r="B693" s="9" t="n"/>
      <c r="C693" s="9" t="n"/>
      <c r="D693" s="9" t="n"/>
      <c r="E693" s="9" t="n"/>
      <c r="F693" s="8">
        <f>IF(A693="","",IFERROR(INDEX(Testes!$N$2:$N$500,MATCH(A693,Testes!$A$2:$A$500,0)),""))</f>
        <v/>
      </c>
      <c r="G693" s="8">
        <f>IF(F693="ocorrência","VP",IF(F693="sem ocorrência","FP",""))</f>
        <v/>
      </c>
      <c r="H693" s="7" t="n"/>
      <c r="I693" s="8">
        <f>IF(H693&lt;&gt;"",H693,G693)</f>
        <v/>
      </c>
    </row>
    <row r="694">
      <c r="A694" s="9" t="n"/>
      <c r="B694" s="9" t="n"/>
      <c r="C694" s="9" t="n"/>
      <c r="D694" s="9" t="n"/>
      <c r="E694" s="9" t="n"/>
      <c r="F694" s="8">
        <f>IF(A694="","",IFERROR(INDEX(Testes!$N$2:$N$500,MATCH(A694,Testes!$A$2:$A$500,0)),""))</f>
        <v/>
      </c>
      <c r="G694" s="8">
        <f>IF(F694="ocorrência","VP",IF(F694="sem ocorrência","FP",""))</f>
        <v/>
      </c>
      <c r="H694" s="7" t="n"/>
      <c r="I694" s="8">
        <f>IF(H694&lt;&gt;"",H694,G694)</f>
        <v/>
      </c>
    </row>
    <row r="695">
      <c r="A695" s="9" t="n"/>
      <c r="B695" s="9" t="n"/>
      <c r="C695" s="9" t="n"/>
      <c r="D695" s="9" t="n"/>
      <c r="E695" s="9" t="n"/>
      <c r="F695" s="8">
        <f>IF(A695="","",IFERROR(INDEX(Testes!$N$2:$N$500,MATCH(A695,Testes!$A$2:$A$500,0)),""))</f>
        <v/>
      </c>
      <c r="G695" s="8">
        <f>IF(F695="ocorrência","VP",IF(F695="sem ocorrência","FP",""))</f>
        <v/>
      </c>
      <c r="H695" s="7" t="n"/>
      <c r="I695" s="8">
        <f>IF(H695&lt;&gt;"",H695,G695)</f>
        <v/>
      </c>
    </row>
    <row r="696">
      <c r="A696" s="9" t="n"/>
      <c r="B696" s="9" t="n"/>
      <c r="C696" s="9" t="n"/>
      <c r="D696" s="9" t="n"/>
      <c r="E696" s="9" t="n"/>
      <c r="F696" s="8">
        <f>IF(A696="","",IFERROR(INDEX(Testes!$N$2:$N$500,MATCH(A696,Testes!$A$2:$A$500,0)),""))</f>
        <v/>
      </c>
      <c r="G696" s="8">
        <f>IF(F696="ocorrência","VP",IF(F696="sem ocorrência","FP",""))</f>
        <v/>
      </c>
      <c r="H696" s="7" t="n"/>
      <c r="I696" s="8">
        <f>IF(H696&lt;&gt;"",H696,G696)</f>
        <v/>
      </c>
    </row>
    <row r="697">
      <c r="A697" s="9" t="n"/>
      <c r="B697" s="9" t="n"/>
      <c r="C697" s="9" t="n"/>
      <c r="D697" s="9" t="n"/>
      <c r="E697" s="9" t="n"/>
      <c r="F697" s="8">
        <f>IF(A697="","",IFERROR(INDEX(Testes!$N$2:$N$500,MATCH(A697,Testes!$A$2:$A$500,0)),""))</f>
        <v/>
      </c>
      <c r="G697" s="8">
        <f>IF(F697="ocorrência","VP",IF(F697="sem ocorrência","FP",""))</f>
        <v/>
      </c>
      <c r="H697" s="7" t="n"/>
      <c r="I697" s="8">
        <f>IF(H697&lt;&gt;"",H697,G697)</f>
        <v/>
      </c>
    </row>
    <row r="698">
      <c r="A698" s="9" t="n"/>
      <c r="B698" s="9" t="n"/>
      <c r="C698" s="9" t="n"/>
      <c r="D698" s="9" t="n"/>
      <c r="E698" s="9" t="n"/>
      <c r="F698" s="8">
        <f>IF(A698="","",IFERROR(INDEX(Testes!$N$2:$N$500,MATCH(A698,Testes!$A$2:$A$500,0)),""))</f>
        <v/>
      </c>
      <c r="G698" s="8">
        <f>IF(F698="ocorrência","VP",IF(F698="sem ocorrência","FP",""))</f>
        <v/>
      </c>
      <c r="H698" s="7" t="n"/>
      <c r="I698" s="8">
        <f>IF(H698&lt;&gt;"",H698,G698)</f>
        <v/>
      </c>
    </row>
    <row r="699">
      <c r="A699" s="9" t="n"/>
      <c r="B699" s="9" t="n"/>
      <c r="C699" s="9" t="n"/>
      <c r="D699" s="9" t="n"/>
      <c r="E699" s="9" t="n"/>
      <c r="F699" s="8">
        <f>IF(A699="","",IFERROR(INDEX(Testes!$N$2:$N$500,MATCH(A699,Testes!$A$2:$A$500,0)),""))</f>
        <v/>
      </c>
      <c r="G699" s="8">
        <f>IF(F699="ocorrência","VP",IF(F699="sem ocorrência","FP",""))</f>
        <v/>
      </c>
      <c r="H699" s="7" t="n"/>
      <c r="I699" s="8">
        <f>IF(H699&lt;&gt;"",H699,G699)</f>
        <v/>
      </c>
    </row>
    <row r="700">
      <c r="A700" s="9" t="n"/>
      <c r="B700" s="9" t="n"/>
      <c r="C700" s="9" t="n"/>
      <c r="D700" s="9" t="n"/>
      <c r="E700" s="9" t="n"/>
      <c r="F700" s="8">
        <f>IF(A700="","",IFERROR(INDEX(Testes!$N$2:$N$500,MATCH(A700,Testes!$A$2:$A$500,0)),""))</f>
        <v/>
      </c>
      <c r="G700" s="8">
        <f>IF(F700="ocorrência","VP",IF(F700="sem ocorrência","FP",""))</f>
        <v/>
      </c>
      <c r="H700" s="7" t="n"/>
      <c r="I700" s="8">
        <f>IF(H700&lt;&gt;"",H700,G700)</f>
        <v/>
      </c>
    </row>
    <row r="701">
      <c r="A701" s="9" t="n"/>
      <c r="B701" s="9" t="n"/>
      <c r="C701" s="9" t="n"/>
      <c r="D701" s="9" t="n"/>
      <c r="E701" s="9" t="n"/>
      <c r="F701" s="8">
        <f>IF(A701="","",IFERROR(INDEX(Testes!$N$2:$N$500,MATCH(A701,Testes!$A$2:$A$500,0)),""))</f>
        <v/>
      </c>
      <c r="G701" s="8">
        <f>IF(F701="ocorrência","VP",IF(F701="sem ocorrência","FP",""))</f>
        <v/>
      </c>
      <c r="H701" s="7" t="n"/>
      <c r="I701" s="8">
        <f>IF(H701&lt;&gt;"",H701,G701)</f>
        <v/>
      </c>
    </row>
    <row r="702">
      <c r="A702" s="9" t="n"/>
      <c r="B702" s="9" t="n"/>
      <c r="C702" s="9" t="n"/>
      <c r="D702" s="9" t="n"/>
      <c r="E702" s="9" t="n"/>
      <c r="F702" s="8">
        <f>IF(A702="","",IFERROR(INDEX(Testes!$N$2:$N$500,MATCH(A702,Testes!$A$2:$A$500,0)),""))</f>
        <v/>
      </c>
      <c r="G702" s="8">
        <f>IF(F702="ocorrência","VP",IF(F702="sem ocorrência","FP",""))</f>
        <v/>
      </c>
      <c r="H702" s="7" t="n"/>
      <c r="I702" s="8">
        <f>IF(H702&lt;&gt;"",H702,G702)</f>
        <v/>
      </c>
    </row>
    <row r="703">
      <c r="A703" s="9" t="n"/>
      <c r="B703" s="9" t="n"/>
      <c r="C703" s="9" t="n"/>
      <c r="D703" s="9" t="n"/>
      <c r="E703" s="9" t="n"/>
      <c r="F703" s="8">
        <f>IF(A703="","",IFERROR(INDEX(Testes!$N$2:$N$500,MATCH(A703,Testes!$A$2:$A$500,0)),""))</f>
        <v/>
      </c>
      <c r="G703" s="8">
        <f>IF(F703="ocorrência","VP",IF(F703="sem ocorrência","FP",""))</f>
        <v/>
      </c>
      <c r="H703" s="7" t="n"/>
      <c r="I703" s="8">
        <f>IF(H703&lt;&gt;"",H703,G703)</f>
        <v/>
      </c>
    </row>
    <row r="704">
      <c r="A704" s="9" t="n"/>
      <c r="B704" s="9" t="n"/>
      <c r="C704" s="9" t="n"/>
      <c r="D704" s="9" t="n"/>
      <c r="E704" s="9" t="n"/>
      <c r="F704" s="8">
        <f>IF(A704="","",IFERROR(INDEX(Testes!$N$2:$N$500,MATCH(A704,Testes!$A$2:$A$500,0)),""))</f>
        <v/>
      </c>
      <c r="G704" s="8">
        <f>IF(F704="ocorrência","VP",IF(F704="sem ocorrência","FP",""))</f>
        <v/>
      </c>
      <c r="H704" s="7" t="n"/>
      <c r="I704" s="8">
        <f>IF(H704&lt;&gt;"",H704,G704)</f>
        <v/>
      </c>
    </row>
    <row r="705">
      <c r="A705" s="9" t="n"/>
      <c r="B705" s="9" t="n"/>
      <c r="C705" s="9" t="n"/>
      <c r="D705" s="9" t="n"/>
      <c r="E705" s="9" t="n"/>
      <c r="F705" s="8">
        <f>IF(A705="","",IFERROR(INDEX(Testes!$N$2:$N$500,MATCH(A705,Testes!$A$2:$A$500,0)),""))</f>
        <v/>
      </c>
      <c r="G705" s="8">
        <f>IF(F705="ocorrência","VP",IF(F705="sem ocorrência","FP",""))</f>
        <v/>
      </c>
      <c r="H705" s="7" t="n"/>
      <c r="I705" s="8">
        <f>IF(H705&lt;&gt;"",H705,G705)</f>
        <v/>
      </c>
    </row>
    <row r="706">
      <c r="A706" s="9" t="n"/>
      <c r="B706" s="9" t="n"/>
      <c r="C706" s="9" t="n"/>
      <c r="D706" s="9" t="n"/>
      <c r="E706" s="9" t="n"/>
      <c r="F706" s="8">
        <f>IF(A706="","",IFERROR(INDEX(Testes!$N$2:$N$500,MATCH(A706,Testes!$A$2:$A$500,0)),""))</f>
        <v/>
      </c>
      <c r="G706" s="8">
        <f>IF(F706="ocorrência","VP",IF(F706="sem ocorrência","FP",""))</f>
        <v/>
      </c>
      <c r="H706" s="7" t="n"/>
      <c r="I706" s="8">
        <f>IF(H706&lt;&gt;"",H706,G706)</f>
        <v/>
      </c>
    </row>
    <row r="707">
      <c r="A707" s="9" t="n"/>
      <c r="B707" s="9" t="n"/>
      <c r="C707" s="9" t="n"/>
      <c r="D707" s="9" t="n"/>
      <c r="E707" s="9" t="n"/>
      <c r="F707" s="8">
        <f>IF(A707="","",IFERROR(INDEX(Testes!$N$2:$N$500,MATCH(A707,Testes!$A$2:$A$500,0)),""))</f>
        <v/>
      </c>
      <c r="G707" s="8">
        <f>IF(F707="ocorrência","VP",IF(F707="sem ocorrência","FP",""))</f>
        <v/>
      </c>
      <c r="H707" s="7" t="n"/>
      <c r="I707" s="8">
        <f>IF(H707&lt;&gt;"",H707,G707)</f>
        <v/>
      </c>
    </row>
    <row r="708">
      <c r="A708" s="9" t="n"/>
      <c r="B708" s="9" t="n"/>
      <c r="C708" s="9" t="n"/>
      <c r="D708" s="9" t="n"/>
      <c r="E708" s="9" t="n"/>
      <c r="F708" s="8">
        <f>IF(A708="","",IFERROR(INDEX(Testes!$N$2:$N$500,MATCH(A708,Testes!$A$2:$A$500,0)),""))</f>
        <v/>
      </c>
      <c r="G708" s="8">
        <f>IF(F708="ocorrência","VP",IF(F708="sem ocorrência","FP",""))</f>
        <v/>
      </c>
      <c r="H708" s="7" t="n"/>
      <c r="I708" s="8">
        <f>IF(H708&lt;&gt;"",H708,G708)</f>
        <v/>
      </c>
    </row>
    <row r="709">
      <c r="A709" s="9" t="n"/>
      <c r="B709" s="9" t="n"/>
      <c r="C709" s="9" t="n"/>
      <c r="D709" s="9" t="n"/>
      <c r="E709" s="9" t="n"/>
      <c r="F709" s="8">
        <f>IF(A709="","",IFERROR(INDEX(Testes!$N$2:$N$500,MATCH(A709,Testes!$A$2:$A$500,0)),""))</f>
        <v/>
      </c>
      <c r="G709" s="8">
        <f>IF(F709="ocorrência","VP",IF(F709="sem ocorrência","FP",""))</f>
        <v/>
      </c>
      <c r="H709" s="7" t="n"/>
      <c r="I709" s="8">
        <f>IF(H709&lt;&gt;"",H709,G709)</f>
        <v/>
      </c>
    </row>
    <row r="710">
      <c r="A710" s="9" t="n"/>
      <c r="B710" s="9" t="n"/>
      <c r="C710" s="9" t="n"/>
      <c r="D710" s="9" t="n"/>
      <c r="E710" s="9" t="n"/>
      <c r="F710" s="8">
        <f>IF(A710="","",IFERROR(INDEX(Testes!$N$2:$N$500,MATCH(A710,Testes!$A$2:$A$500,0)),""))</f>
        <v/>
      </c>
      <c r="G710" s="8">
        <f>IF(F710="ocorrência","VP",IF(F710="sem ocorrência","FP",""))</f>
        <v/>
      </c>
      <c r="H710" s="7" t="n"/>
      <c r="I710" s="8">
        <f>IF(H710&lt;&gt;"",H710,G710)</f>
        <v/>
      </c>
    </row>
    <row r="711">
      <c r="A711" s="9" t="n"/>
      <c r="B711" s="9" t="n"/>
      <c r="C711" s="9" t="n"/>
      <c r="D711" s="9" t="n"/>
      <c r="E711" s="9" t="n"/>
      <c r="F711" s="8">
        <f>IF(A711="","",IFERROR(INDEX(Testes!$N$2:$N$500,MATCH(A711,Testes!$A$2:$A$500,0)),""))</f>
        <v/>
      </c>
      <c r="G711" s="8">
        <f>IF(F711="ocorrência","VP",IF(F711="sem ocorrência","FP",""))</f>
        <v/>
      </c>
      <c r="H711" s="7" t="n"/>
      <c r="I711" s="8">
        <f>IF(H711&lt;&gt;"",H711,G711)</f>
        <v/>
      </c>
    </row>
    <row r="712">
      <c r="A712" s="9" t="n"/>
      <c r="B712" s="9" t="n"/>
      <c r="C712" s="9" t="n"/>
      <c r="D712" s="9" t="n"/>
      <c r="E712" s="9" t="n"/>
      <c r="F712" s="8">
        <f>IF(A712="","",IFERROR(INDEX(Testes!$N$2:$N$500,MATCH(A712,Testes!$A$2:$A$500,0)),""))</f>
        <v/>
      </c>
      <c r="G712" s="8">
        <f>IF(F712="ocorrência","VP",IF(F712="sem ocorrência","FP",""))</f>
        <v/>
      </c>
      <c r="H712" s="7" t="n"/>
      <c r="I712" s="8">
        <f>IF(H712&lt;&gt;"",H712,G712)</f>
        <v/>
      </c>
    </row>
    <row r="713">
      <c r="A713" s="9" t="n"/>
      <c r="B713" s="9" t="n"/>
      <c r="C713" s="9" t="n"/>
      <c r="D713" s="9" t="n"/>
      <c r="E713" s="9" t="n"/>
      <c r="F713" s="8">
        <f>IF(A713="","",IFERROR(INDEX(Testes!$N$2:$N$500,MATCH(A713,Testes!$A$2:$A$500,0)),""))</f>
        <v/>
      </c>
      <c r="G713" s="8">
        <f>IF(F713="ocorrência","VP",IF(F713="sem ocorrência","FP",""))</f>
        <v/>
      </c>
      <c r="H713" s="7" t="n"/>
      <c r="I713" s="8">
        <f>IF(H713&lt;&gt;"",H713,G713)</f>
        <v/>
      </c>
    </row>
    <row r="714">
      <c r="A714" s="9" t="n"/>
      <c r="B714" s="9" t="n"/>
      <c r="C714" s="9" t="n"/>
      <c r="D714" s="9" t="n"/>
      <c r="E714" s="9" t="n"/>
      <c r="F714" s="8">
        <f>IF(A714="","",IFERROR(INDEX(Testes!$N$2:$N$500,MATCH(A714,Testes!$A$2:$A$500,0)),""))</f>
        <v/>
      </c>
      <c r="G714" s="8">
        <f>IF(F714="ocorrência","VP",IF(F714="sem ocorrência","FP",""))</f>
        <v/>
      </c>
      <c r="H714" s="7" t="n"/>
      <c r="I714" s="8">
        <f>IF(H714&lt;&gt;"",H714,G714)</f>
        <v/>
      </c>
    </row>
    <row r="715">
      <c r="A715" s="9" t="n"/>
      <c r="B715" s="9" t="n"/>
      <c r="C715" s="9" t="n"/>
      <c r="D715" s="9" t="n"/>
      <c r="E715" s="9" t="n"/>
      <c r="F715" s="8">
        <f>IF(A715="","",IFERROR(INDEX(Testes!$N$2:$N$500,MATCH(A715,Testes!$A$2:$A$500,0)),""))</f>
        <v/>
      </c>
      <c r="G715" s="8">
        <f>IF(F715="ocorrência","VP",IF(F715="sem ocorrência","FP",""))</f>
        <v/>
      </c>
      <c r="H715" s="7" t="n"/>
      <c r="I715" s="8">
        <f>IF(H715&lt;&gt;"",H715,G715)</f>
        <v/>
      </c>
    </row>
    <row r="716">
      <c r="A716" s="9" t="n"/>
      <c r="B716" s="9" t="n"/>
      <c r="C716" s="9" t="n"/>
      <c r="D716" s="9" t="n"/>
      <c r="E716" s="9" t="n"/>
      <c r="F716" s="8">
        <f>IF(A716="","",IFERROR(INDEX(Testes!$N$2:$N$500,MATCH(A716,Testes!$A$2:$A$500,0)),""))</f>
        <v/>
      </c>
      <c r="G716" s="8">
        <f>IF(F716="ocorrência","VP",IF(F716="sem ocorrência","FP",""))</f>
        <v/>
      </c>
      <c r="H716" s="7" t="n"/>
      <c r="I716" s="8">
        <f>IF(H716&lt;&gt;"",H716,G716)</f>
        <v/>
      </c>
    </row>
    <row r="717">
      <c r="A717" s="9" t="n"/>
      <c r="B717" s="9" t="n"/>
      <c r="C717" s="9" t="n"/>
      <c r="D717" s="9" t="n"/>
      <c r="E717" s="9" t="n"/>
      <c r="F717" s="8">
        <f>IF(A717="","",IFERROR(INDEX(Testes!$N$2:$N$500,MATCH(A717,Testes!$A$2:$A$500,0)),""))</f>
        <v/>
      </c>
      <c r="G717" s="8">
        <f>IF(F717="ocorrência","VP",IF(F717="sem ocorrência","FP",""))</f>
        <v/>
      </c>
      <c r="H717" s="7" t="n"/>
      <c r="I717" s="8">
        <f>IF(H717&lt;&gt;"",H717,G717)</f>
        <v/>
      </c>
    </row>
    <row r="718">
      <c r="A718" s="9" t="n"/>
      <c r="B718" s="9" t="n"/>
      <c r="C718" s="9" t="n"/>
      <c r="D718" s="9" t="n"/>
      <c r="E718" s="9" t="n"/>
      <c r="F718" s="8">
        <f>IF(A718="","",IFERROR(INDEX(Testes!$N$2:$N$500,MATCH(A718,Testes!$A$2:$A$500,0)),""))</f>
        <v/>
      </c>
      <c r="G718" s="8">
        <f>IF(F718="ocorrência","VP",IF(F718="sem ocorrência","FP",""))</f>
        <v/>
      </c>
      <c r="H718" s="7" t="n"/>
      <c r="I718" s="8">
        <f>IF(H718&lt;&gt;"",H718,G718)</f>
        <v/>
      </c>
    </row>
    <row r="719">
      <c r="A719" s="9" t="n"/>
      <c r="B719" s="9" t="n"/>
      <c r="C719" s="9" t="n"/>
      <c r="D719" s="9" t="n"/>
      <c r="E719" s="9" t="n"/>
      <c r="F719" s="8">
        <f>IF(A719="","",IFERROR(INDEX(Testes!$N$2:$N$500,MATCH(A719,Testes!$A$2:$A$500,0)),""))</f>
        <v/>
      </c>
      <c r="G719" s="8">
        <f>IF(F719="ocorrência","VP",IF(F719="sem ocorrência","FP",""))</f>
        <v/>
      </c>
      <c r="H719" s="7" t="n"/>
      <c r="I719" s="8">
        <f>IF(H719&lt;&gt;"",H719,G719)</f>
        <v/>
      </c>
    </row>
    <row r="720">
      <c r="A720" s="9" t="n"/>
      <c r="B720" s="9" t="n"/>
      <c r="C720" s="9" t="n"/>
      <c r="D720" s="9" t="n"/>
      <c r="E720" s="9" t="n"/>
      <c r="F720" s="8">
        <f>IF(A720="","",IFERROR(INDEX(Testes!$N$2:$N$500,MATCH(A720,Testes!$A$2:$A$500,0)),""))</f>
        <v/>
      </c>
      <c r="G720" s="8">
        <f>IF(F720="ocorrência","VP",IF(F720="sem ocorrência","FP",""))</f>
        <v/>
      </c>
      <c r="H720" s="7" t="n"/>
      <c r="I720" s="8">
        <f>IF(H720&lt;&gt;"",H720,G720)</f>
        <v/>
      </c>
    </row>
    <row r="721">
      <c r="A721" s="9" t="n"/>
      <c r="B721" s="9" t="n"/>
      <c r="C721" s="9" t="n"/>
      <c r="D721" s="9" t="n"/>
      <c r="E721" s="9" t="n"/>
      <c r="F721" s="8">
        <f>IF(A721="","",IFERROR(INDEX(Testes!$N$2:$N$500,MATCH(A721,Testes!$A$2:$A$500,0)),""))</f>
        <v/>
      </c>
      <c r="G721" s="8">
        <f>IF(F721="ocorrência","VP",IF(F721="sem ocorrência","FP",""))</f>
        <v/>
      </c>
      <c r="H721" s="7" t="n"/>
      <c r="I721" s="8">
        <f>IF(H721&lt;&gt;"",H721,G721)</f>
        <v/>
      </c>
    </row>
    <row r="722">
      <c r="A722" s="9" t="n"/>
      <c r="B722" s="9" t="n"/>
      <c r="C722" s="9" t="n"/>
      <c r="D722" s="9" t="n"/>
      <c r="E722" s="9" t="n"/>
      <c r="F722" s="8">
        <f>IF(A722="","",IFERROR(INDEX(Testes!$N$2:$N$500,MATCH(A722,Testes!$A$2:$A$500,0)),""))</f>
        <v/>
      </c>
      <c r="G722" s="8">
        <f>IF(F722="ocorrência","VP",IF(F722="sem ocorrência","FP",""))</f>
        <v/>
      </c>
      <c r="H722" s="7" t="n"/>
      <c r="I722" s="8">
        <f>IF(H722&lt;&gt;"",H722,G722)</f>
        <v/>
      </c>
    </row>
    <row r="723">
      <c r="A723" s="9" t="n"/>
      <c r="B723" s="9" t="n"/>
      <c r="C723" s="9" t="n"/>
      <c r="D723" s="9" t="n"/>
      <c r="E723" s="9" t="n"/>
      <c r="F723" s="8">
        <f>IF(A723="","",IFERROR(INDEX(Testes!$N$2:$N$500,MATCH(A723,Testes!$A$2:$A$500,0)),""))</f>
        <v/>
      </c>
      <c r="G723" s="8">
        <f>IF(F723="ocorrência","VP",IF(F723="sem ocorrência","FP",""))</f>
        <v/>
      </c>
      <c r="H723" s="7" t="n"/>
      <c r="I723" s="8">
        <f>IF(H723&lt;&gt;"",H723,G723)</f>
        <v/>
      </c>
    </row>
    <row r="724">
      <c r="A724" s="9" t="n"/>
      <c r="B724" s="9" t="n"/>
      <c r="C724" s="9" t="n"/>
      <c r="D724" s="9" t="n"/>
      <c r="E724" s="9" t="n"/>
      <c r="F724" s="8">
        <f>IF(A724="","",IFERROR(INDEX(Testes!$N$2:$N$500,MATCH(A724,Testes!$A$2:$A$500,0)),""))</f>
        <v/>
      </c>
      <c r="G724" s="8">
        <f>IF(F724="ocorrência","VP",IF(F724="sem ocorrência","FP",""))</f>
        <v/>
      </c>
      <c r="H724" s="7" t="n"/>
      <c r="I724" s="8">
        <f>IF(H724&lt;&gt;"",H724,G724)</f>
        <v/>
      </c>
    </row>
    <row r="725">
      <c r="A725" s="9" t="n"/>
      <c r="B725" s="9" t="n"/>
      <c r="C725" s="9" t="n"/>
      <c r="D725" s="9" t="n"/>
      <c r="E725" s="9" t="n"/>
      <c r="F725" s="8">
        <f>IF(A725="","",IFERROR(INDEX(Testes!$N$2:$N$500,MATCH(A725,Testes!$A$2:$A$500,0)),""))</f>
        <v/>
      </c>
      <c r="G725" s="8">
        <f>IF(F725="ocorrência","VP",IF(F725="sem ocorrência","FP",""))</f>
        <v/>
      </c>
      <c r="H725" s="7" t="n"/>
      <c r="I725" s="8">
        <f>IF(H725&lt;&gt;"",H725,G725)</f>
        <v/>
      </c>
    </row>
    <row r="726">
      <c r="A726" s="9" t="n"/>
      <c r="B726" s="9" t="n"/>
      <c r="C726" s="9" t="n"/>
      <c r="D726" s="9" t="n"/>
      <c r="E726" s="9" t="n"/>
      <c r="F726" s="8">
        <f>IF(A726="","",IFERROR(INDEX(Testes!$N$2:$N$500,MATCH(A726,Testes!$A$2:$A$500,0)),""))</f>
        <v/>
      </c>
      <c r="G726" s="8">
        <f>IF(F726="ocorrência","VP",IF(F726="sem ocorrência","FP",""))</f>
        <v/>
      </c>
      <c r="H726" s="7" t="n"/>
      <c r="I726" s="8">
        <f>IF(H726&lt;&gt;"",H726,G726)</f>
        <v/>
      </c>
    </row>
    <row r="727">
      <c r="A727" s="9" t="n"/>
      <c r="B727" s="9" t="n"/>
      <c r="C727" s="9" t="n"/>
      <c r="D727" s="9" t="n"/>
      <c r="E727" s="9" t="n"/>
      <c r="F727" s="8">
        <f>IF(A727="","",IFERROR(INDEX(Testes!$N$2:$N$500,MATCH(A727,Testes!$A$2:$A$500,0)),""))</f>
        <v/>
      </c>
      <c r="G727" s="8">
        <f>IF(F727="ocorrência","VP",IF(F727="sem ocorrência","FP",""))</f>
        <v/>
      </c>
      <c r="H727" s="7" t="n"/>
      <c r="I727" s="8">
        <f>IF(H727&lt;&gt;"",H727,G727)</f>
        <v/>
      </c>
    </row>
    <row r="728">
      <c r="A728" s="9" t="n"/>
      <c r="B728" s="9" t="n"/>
      <c r="C728" s="9" t="n"/>
      <c r="D728" s="9" t="n"/>
      <c r="E728" s="9" t="n"/>
      <c r="F728" s="8">
        <f>IF(A728="","",IFERROR(INDEX(Testes!$N$2:$N$500,MATCH(A728,Testes!$A$2:$A$500,0)),""))</f>
        <v/>
      </c>
      <c r="G728" s="8">
        <f>IF(F728="ocorrência","VP",IF(F728="sem ocorrência","FP",""))</f>
        <v/>
      </c>
      <c r="H728" s="7" t="n"/>
      <c r="I728" s="8">
        <f>IF(H728&lt;&gt;"",H728,G728)</f>
        <v/>
      </c>
    </row>
    <row r="729">
      <c r="A729" s="9" t="n"/>
      <c r="B729" s="9" t="n"/>
      <c r="C729" s="9" t="n"/>
      <c r="D729" s="9" t="n"/>
      <c r="E729" s="9" t="n"/>
      <c r="F729" s="8">
        <f>IF(A729="","",IFERROR(INDEX(Testes!$N$2:$N$500,MATCH(A729,Testes!$A$2:$A$500,0)),""))</f>
        <v/>
      </c>
      <c r="G729" s="8">
        <f>IF(F729="ocorrência","VP",IF(F729="sem ocorrência","FP",""))</f>
        <v/>
      </c>
      <c r="H729" s="7" t="n"/>
      <c r="I729" s="8">
        <f>IF(H729&lt;&gt;"",H729,G729)</f>
        <v/>
      </c>
    </row>
    <row r="730">
      <c r="A730" s="9" t="n"/>
      <c r="B730" s="9" t="n"/>
      <c r="C730" s="9" t="n"/>
      <c r="D730" s="9" t="n"/>
      <c r="E730" s="9" t="n"/>
      <c r="F730" s="8">
        <f>IF(A730="","",IFERROR(INDEX(Testes!$N$2:$N$500,MATCH(A730,Testes!$A$2:$A$500,0)),""))</f>
        <v/>
      </c>
      <c r="G730" s="8">
        <f>IF(F730="ocorrência","VP",IF(F730="sem ocorrência","FP",""))</f>
        <v/>
      </c>
      <c r="H730" s="7" t="n"/>
      <c r="I730" s="8">
        <f>IF(H730&lt;&gt;"",H730,G730)</f>
        <v/>
      </c>
    </row>
    <row r="731">
      <c r="A731" s="9" t="n"/>
      <c r="B731" s="9" t="n"/>
      <c r="C731" s="9" t="n"/>
      <c r="D731" s="9" t="n"/>
      <c r="E731" s="9" t="n"/>
      <c r="F731" s="8">
        <f>IF(A731="","",IFERROR(INDEX(Testes!$N$2:$N$500,MATCH(A731,Testes!$A$2:$A$500,0)),""))</f>
        <v/>
      </c>
      <c r="G731" s="8">
        <f>IF(F731="ocorrência","VP",IF(F731="sem ocorrência","FP",""))</f>
        <v/>
      </c>
      <c r="H731" s="7" t="n"/>
      <c r="I731" s="8">
        <f>IF(H731&lt;&gt;"",H731,G731)</f>
        <v/>
      </c>
    </row>
    <row r="732">
      <c r="A732" s="9" t="n"/>
      <c r="B732" s="9" t="n"/>
      <c r="C732" s="9" t="n"/>
      <c r="D732" s="9" t="n"/>
      <c r="E732" s="9" t="n"/>
      <c r="F732" s="8">
        <f>IF(A732="","",IFERROR(INDEX(Testes!$N$2:$N$500,MATCH(A732,Testes!$A$2:$A$500,0)),""))</f>
        <v/>
      </c>
      <c r="G732" s="8">
        <f>IF(F732="ocorrência","VP",IF(F732="sem ocorrência","FP",""))</f>
        <v/>
      </c>
      <c r="H732" s="7" t="n"/>
      <c r="I732" s="8">
        <f>IF(H732&lt;&gt;"",H732,G732)</f>
        <v/>
      </c>
    </row>
    <row r="733">
      <c r="A733" s="9" t="n"/>
      <c r="B733" s="9" t="n"/>
      <c r="C733" s="9" t="n"/>
      <c r="D733" s="9" t="n"/>
      <c r="E733" s="9" t="n"/>
      <c r="F733" s="8">
        <f>IF(A733="","",IFERROR(INDEX(Testes!$N$2:$N$500,MATCH(A733,Testes!$A$2:$A$500,0)),""))</f>
        <v/>
      </c>
      <c r="G733" s="8">
        <f>IF(F733="ocorrência","VP",IF(F733="sem ocorrência","FP",""))</f>
        <v/>
      </c>
      <c r="H733" s="7" t="n"/>
      <c r="I733" s="8">
        <f>IF(H733&lt;&gt;"",H733,G733)</f>
        <v/>
      </c>
    </row>
    <row r="734">
      <c r="A734" s="9" t="n"/>
      <c r="B734" s="9" t="n"/>
      <c r="C734" s="9" t="n"/>
      <c r="D734" s="9" t="n"/>
      <c r="E734" s="9" t="n"/>
      <c r="F734" s="8">
        <f>IF(A734="","",IFERROR(INDEX(Testes!$N$2:$N$500,MATCH(A734,Testes!$A$2:$A$500,0)),""))</f>
        <v/>
      </c>
      <c r="G734" s="8">
        <f>IF(F734="ocorrência","VP",IF(F734="sem ocorrência","FP",""))</f>
        <v/>
      </c>
      <c r="H734" s="7" t="n"/>
      <c r="I734" s="8">
        <f>IF(H734&lt;&gt;"",H734,G734)</f>
        <v/>
      </c>
    </row>
    <row r="735">
      <c r="A735" s="9" t="n"/>
      <c r="B735" s="9" t="n"/>
      <c r="C735" s="9" t="n"/>
      <c r="D735" s="9" t="n"/>
      <c r="E735" s="9" t="n"/>
      <c r="F735" s="8">
        <f>IF(A735="","",IFERROR(INDEX(Testes!$N$2:$N$500,MATCH(A735,Testes!$A$2:$A$500,0)),""))</f>
        <v/>
      </c>
      <c r="G735" s="8">
        <f>IF(F735="ocorrência","VP",IF(F735="sem ocorrência","FP",""))</f>
        <v/>
      </c>
      <c r="H735" s="7" t="n"/>
      <c r="I735" s="8">
        <f>IF(H735&lt;&gt;"",H735,G735)</f>
        <v/>
      </c>
    </row>
    <row r="736">
      <c r="A736" s="9" t="n"/>
      <c r="B736" s="9" t="n"/>
      <c r="C736" s="9" t="n"/>
      <c r="D736" s="9" t="n"/>
      <c r="E736" s="9" t="n"/>
      <c r="F736" s="8">
        <f>IF(A736="","",IFERROR(INDEX(Testes!$N$2:$N$500,MATCH(A736,Testes!$A$2:$A$500,0)),""))</f>
        <v/>
      </c>
      <c r="G736" s="8">
        <f>IF(F736="ocorrência","VP",IF(F736="sem ocorrência","FP",""))</f>
        <v/>
      </c>
      <c r="H736" s="7" t="n"/>
      <c r="I736" s="8">
        <f>IF(H736&lt;&gt;"",H736,G736)</f>
        <v/>
      </c>
    </row>
    <row r="737">
      <c r="A737" s="9" t="n"/>
      <c r="B737" s="9" t="n"/>
      <c r="C737" s="9" t="n"/>
      <c r="D737" s="9" t="n"/>
      <c r="E737" s="9" t="n"/>
      <c r="F737" s="8">
        <f>IF(A737="","",IFERROR(INDEX(Testes!$N$2:$N$500,MATCH(A737,Testes!$A$2:$A$500,0)),""))</f>
        <v/>
      </c>
      <c r="G737" s="8">
        <f>IF(F737="ocorrência","VP",IF(F737="sem ocorrência","FP",""))</f>
        <v/>
      </c>
      <c r="H737" s="7" t="n"/>
      <c r="I737" s="8">
        <f>IF(H737&lt;&gt;"",H737,G737)</f>
        <v/>
      </c>
    </row>
    <row r="738">
      <c r="A738" s="9" t="n"/>
      <c r="B738" s="9" t="n"/>
      <c r="C738" s="9" t="n"/>
      <c r="D738" s="9" t="n"/>
      <c r="E738" s="9" t="n"/>
      <c r="F738" s="8">
        <f>IF(A738="","",IFERROR(INDEX(Testes!$N$2:$N$500,MATCH(A738,Testes!$A$2:$A$500,0)),""))</f>
        <v/>
      </c>
      <c r="G738" s="8">
        <f>IF(F738="ocorrência","VP",IF(F738="sem ocorrência","FP",""))</f>
        <v/>
      </c>
      <c r="H738" s="7" t="n"/>
      <c r="I738" s="8">
        <f>IF(H738&lt;&gt;"",H738,G738)</f>
        <v/>
      </c>
    </row>
    <row r="739">
      <c r="A739" s="9" t="n"/>
      <c r="B739" s="9" t="n"/>
      <c r="C739" s="9" t="n"/>
      <c r="D739" s="9" t="n"/>
      <c r="E739" s="9" t="n"/>
      <c r="F739" s="8">
        <f>IF(A739="","",IFERROR(INDEX(Testes!$N$2:$N$500,MATCH(A739,Testes!$A$2:$A$500,0)),""))</f>
        <v/>
      </c>
      <c r="G739" s="8">
        <f>IF(F739="ocorrência","VP",IF(F739="sem ocorrência","FP",""))</f>
        <v/>
      </c>
      <c r="H739" s="7" t="n"/>
      <c r="I739" s="8">
        <f>IF(H739&lt;&gt;"",H739,G739)</f>
        <v/>
      </c>
    </row>
    <row r="740">
      <c r="A740" s="9" t="n"/>
      <c r="B740" s="9" t="n"/>
      <c r="C740" s="9" t="n"/>
      <c r="D740" s="9" t="n"/>
      <c r="E740" s="9" t="n"/>
      <c r="F740" s="8">
        <f>IF(A740="","",IFERROR(INDEX(Testes!$N$2:$N$500,MATCH(A740,Testes!$A$2:$A$500,0)),""))</f>
        <v/>
      </c>
      <c r="G740" s="8">
        <f>IF(F740="ocorrência","VP",IF(F740="sem ocorrência","FP",""))</f>
        <v/>
      </c>
      <c r="H740" s="7" t="n"/>
      <c r="I740" s="8">
        <f>IF(H740&lt;&gt;"",H740,G740)</f>
        <v/>
      </c>
    </row>
    <row r="741">
      <c r="A741" s="9" t="n"/>
      <c r="B741" s="9" t="n"/>
      <c r="C741" s="9" t="n"/>
      <c r="D741" s="9" t="n"/>
      <c r="E741" s="9" t="n"/>
      <c r="F741" s="8">
        <f>IF(A741="","",IFERROR(INDEX(Testes!$N$2:$N$500,MATCH(A741,Testes!$A$2:$A$500,0)),""))</f>
        <v/>
      </c>
      <c r="G741" s="8">
        <f>IF(F741="ocorrência","VP",IF(F741="sem ocorrência","FP",""))</f>
        <v/>
      </c>
      <c r="H741" s="7" t="n"/>
      <c r="I741" s="8">
        <f>IF(H741&lt;&gt;"",H741,G741)</f>
        <v/>
      </c>
    </row>
    <row r="742">
      <c r="A742" s="9" t="n"/>
      <c r="B742" s="9" t="n"/>
      <c r="C742" s="9" t="n"/>
      <c r="D742" s="9" t="n"/>
      <c r="E742" s="9" t="n"/>
      <c r="F742" s="8">
        <f>IF(A742="","",IFERROR(INDEX(Testes!$N$2:$N$500,MATCH(A742,Testes!$A$2:$A$500,0)),""))</f>
        <v/>
      </c>
      <c r="G742" s="8">
        <f>IF(F742="ocorrência","VP",IF(F742="sem ocorrência","FP",""))</f>
        <v/>
      </c>
      <c r="H742" s="7" t="n"/>
      <c r="I742" s="8">
        <f>IF(H742&lt;&gt;"",H742,G742)</f>
        <v/>
      </c>
    </row>
    <row r="743">
      <c r="A743" s="9" t="n"/>
      <c r="B743" s="9" t="n"/>
      <c r="C743" s="9" t="n"/>
      <c r="D743" s="9" t="n"/>
      <c r="E743" s="9" t="n"/>
      <c r="F743" s="8">
        <f>IF(A743="","",IFERROR(INDEX(Testes!$N$2:$N$500,MATCH(A743,Testes!$A$2:$A$500,0)),""))</f>
        <v/>
      </c>
      <c r="G743" s="8">
        <f>IF(F743="ocorrência","VP",IF(F743="sem ocorrência","FP",""))</f>
        <v/>
      </c>
      <c r="H743" s="7" t="n"/>
      <c r="I743" s="8">
        <f>IF(H743&lt;&gt;"",H743,G743)</f>
        <v/>
      </c>
    </row>
    <row r="744">
      <c r="A744" s="9" t="n"/>
      <c r="B744" s="9" t="n"/>
      <c r="C744" s="9" t="n"/>
      <c r="D744" s="9" t="n"/>
      <c r="E744" s="9" t="n"/>
      <c r="F744" s="8">
        <f>IF(A744="","",IFERROR(INDEX(Testes!$N$2:$N$500,MATCH(A744,Testes!$A$2:$A$500,0)),""))</f>
        <v/>
      </c>
      <c r="G744" s="8">
        <f>IF(F744="ocorrência","VP",IF(F744="sem ocorrência","FP",""))</f>
        <v/>
      </c>
      <c r="H744" s="7" t="n"/>
      <c r="I744" s="8">
        <f>IF(H744&lt;&gt;"",H744,G744)</f>
        <v/>
      </c>
    </row>
    <row r="745">
      <c r="A745" s="9" t="n"/>
      <c r="B745" s="9" t="n"/>
      <c r="C745" s="9" t="n"/>
      <c r="D745" s="9" t="n"/>
      <c r="E745" s="9" t="n"/>
      <c r="F745" s="8">
        <f>IF(A745="","",IFERROR(INDEX(Testes!$N$2:$N$500,MATCH(A745,Testes!$A$2:$A$500,0)),""))</f>
        <v/>
      </c>
      <c r="G745" s="8">
        <f>IF(F745="ocorrência","VP",IF(F745="sem ocorrência","FP",""))</f>
        <v/>
      </c>
      <c r="H745" s="7" t="n"/>
      <c r="I745" s="8">
        <f>IF(H745&lt;&gt;"",H745,G745)</f>
        <v/>
      </c>
    </row>
    <row r="746">
      <c r="A746" s="9" t="n"/>
      <c r="B746" s="9" t="n"/>
      <c r="C746" s="9" t="n"/>
      <c r="D746" s="9" t="n"/>
      <c r="E746" s="9" t="n"/>
      <c r="F746" s="8">
        <f>IF(A746="","",IFERROR(INDEX(Testes!$N$2:$N$500,MATCH(A746,Testes!$A$2:$A$500,0)),""))</f>
        <v/>
      </c>
      <c r="G746" s="8">
        <f>IF(F746="ocorrência","VP",IF(F746="sem ocorrência","FP",""))</f>
        <v/>
      </c>
      <c r="H746" s="7" t="n"/>
      <c r="I746" s="8">
        <f>IF(H746&lt;&gt;"",H746,G746)</f>
        <v/>
      </c>
    </row>
    <row r="747">
      <c r="A747" s="9" t="n"/>
      <c r="B747" s="9" t="n"/>
      <c r="C747" s="9" t="n"/>
      <c r="D747" s="9" t="n"/>
      <c r="E747" s="9" t="n"/>
      <c r="F747" s="8">
        <f>IF(A747="","",IFERROR(INDEX(Testes!$N$2:$N$500,MATCH(A747,Testes!$A$2:$A$500,0)),""))</f>
        <v/>
      </c>
      <c r="G747" s="8">
        <f>IF(F747="ocorrência","VP",IF(F747="sem ocorrência","FP",""))</f>
        <v/>
      </c>
      <c r="H747" s="7" t="n"/>
      <c r="I747" s="8">
        <f>IF(H747&lt;&gt;"",H747,G747)</f>
        <v/>
      </c>
    </row>
    <row r="748">
      <c r="A748" s="9" t="n"/>
      <c r="B748" s="9" t="n"/>
      <c r="C748" s="9" t="n"/>
      <c r="D748" s="9" t="n"/>
      <c r="E748" s="9" t="n"/>
      <c r="F748" s="8">
        <f>IF(A748="","",IFERROR(INDEX(Testes!$N$2:$N$500,MATCH(A748,Testes!$A$2:$A$500,0)),""))</f>
        <v/>
      </c>
      <c r="G748" s="8">
        <f>IF(F748="ocorrência","VP",IF(F748="sem ocorrência","FP",""))</f>
        <v/>
      </c>
      <c r="H748" s="7" t="n"/>
      <c r="I748" s="8">
        <f>IF(H748&lt;&gt;"",H748,G748)</f>
        <v/>
      </c>
    </row>
    <row r="749">
      <c r="A749" s="9" t="n"/>
      <c r="B749" s="9" t="n"/>
      <c r="C749" s="9" t="n"/>
      <c r="D749" s="9" t="n"/>
      <c r="E749" s="9" t="n"/>
      <c r="F749" s="8">
        <f>IF(A749="","",IFERROR(INDEX(Testes!$N$2:$N$500,MATCH(A749,Testes!$A$2:$A$500,0)),""))</f>
        <v/>
      </c>
      <c r="G749" s="8">
        <f>IF(F749="ocorrência","VP",IF(F749="sem ocorrência","FP",""))</f>
        <v/>
      </c>
      <c r="H749" s="7" t="n"/>
      <c r="I749" s="8">
        <f>IF(H749&lt;&gt;"",H749,G749)</f>
        <v/>
      </c>
    </row>
    <row r="750">
      <c r="A750" s="9" t="n"/>
      <c r="B750" s="9" t="n"/>
      <c r="C750" s="9" t="n"/>
      <c r="D750" s="9" t="n"/>
      <c r="E750" s="9" t="n"/>
      <c r="F750" s="8">
        <f>IF(A750="","",IFERROR(INDEX(Testes!$N$2:$N$500,MATCH(A750,Testes!$A$2:$A$500,0)),""))</f>
        <v/>
      </c>
      <c r="G750" s="8">
        <f>IF(F750="ocorrência","VP",IF(F750="sem ocorrência","FP",""))</f>
        <v/>
      </c>
      <c r="H750" s="7" t="n"/>
      <c r="I750" s="8">
        <f>IF(H750&lt;&gt;"",H750,G750)</f>
        <v/>
      </c>
    </row>
    <row r="751">
      <c r="A751" s="9" t="n"/>
      <c r="B751" s="9" t="n"/>
      <c r="C751" s="9" t="n"/>
      <c r="D751" s="9" t="n"/>
      <c r="E751" s="9" t="n"/>
      <c r="F751" s="8">
        <f>IF(A751="","",IFERROR(INDEX(Testes!$N$2:$N$500,MATCH(A751,Testes!$A$2:$A$500,0)),""))</f>
        <v/>
      </c>
      <c r="G751" s="8">
        <f>IF(F751="ocorrência","VP",IF(F751="sem ocorrência","FP",""))</f>
        <v/>
      </c>
      <c r="H751" s="7" t="n"/>
      <c r="I751" s="8">
        <f>IF(H751&lt;&gt;"",H751,G751)</f>
        <v/>
      </c>
    </row>
    <row r="752">
      <c r="A752" s="9" t="n"/>
      <c r="B752" s="9" t="n"/>
      <c r="C752" s="9" t="n"/>
      <c r="D752" s="9" t="n"/>
      <c r="E752" s="9" t="n"/>
      <c r="F752" s="8">
        <f>IF(A752="","",IFERROR(INDEX(Testes!$N$2:$N$500,MATCH(A752,Testes!$A$2:$A$500,0)),""))</f>
        <v/>
      </c>
      <c r="G752" s="8">
        <f>IF(F752="ocorrência","VP",IF(F752="sem ocorrência","FP",""))</f>
        <v/>
      </c>
      <c r="H752" s="7" t="n"/>
      <c r="I752" s="8">
        <f>IF(H752&lt;&gt;"",H752,G752)</f>
        <v/>
      </c>
    </row>
    <row r="753">
      <c r="A753" s="9" t="n"/>
      <c r="B753" s="9" t="n"/>
      <c r="C753" s="9" t="n"/>
      <c r="D753" s="9" t="n"/>
      <c r="E753" s="9" t="n"/>
      <c r="F753" s="8">
        <f>IF(A753="","",IFERROR(INDEX(Testes!$N$2:$N$500,MATCH(A753,Testes!$A$2:$A$500,0)),""))</f>
        <v/>
      </c>
      <c r="G753" s="8">
        <f>IF(F753="ocorrência","VP",IF(F753="sem ocorrência","FP",""))</f>
        <v/>
      </c>
      <c r="H753" s="7" t="n"/>
      <c r="I753" s="8">
        <f>IF(H753&lt;&gt;"",H753,G753)</f>
        <v/>
      </c>
    </row>
    <row r="754">
      <c r="A754" s="9" t="n"/>
      <c r="B754" s="9" t="n"/>
      <c r="C754" s="9" t="n"/>
      <c r="D754" s="9" t="n"/>
      <c r="E754" s="9" t="n"/>
      <c r="F754" s="8">
        <f>IF(A754="","",IFERROR(INDEX(Testes!$N$2:$N$500,MATCH(A754,Testes!$A$2:$A$500,0)),""))</f>
        <v/>
      </c>
      <c r="G754" s="8">
        <f>IF(F754="ocorrência","VP",IF(F754="sem ocorrência","FP",""))</f>
        <v/>
      </c>
      <c r="H754" s="7" t="n"/>
      <c r="I754" s="8">
        <f>IF(H754&lt;&gt;"",H754,G754)</f>
        <v/>
      </c>
    </row>
    <row r="755">
      <c r="A755" s="9" t="n"/>
      <c r="B755" s="9" t="n"/>
      <c r="C755" s="9" t="n"/>
      <c r="D755" s="9" t="n"/>
      <c r="E755" s="9" t="n"/>
      <c r="F755" s="8">
        <f>IF(A755="","",IFERROR(INDEX(Testes!$N$2:$N$500,MATCH(A755,Testes!$A$2:$A$500,0)),""))</f>
        <v/>
      </c>
      <c r="G755" s="8">
        <f>IF(F755="ocorrência","VP",IF(F755="sem ocorrência","FP",""))</f>
        <v/>
      </c>
      <c r="H755" s="7" t="n"/>
      <c r="I755" s="8">
        <f>IF(H755&lt;&gt;"",H755,G755)</f>
        <v/>
      </c>
    </row>
    <row r="756">
      <c r="A756" s="9" t="n"/>
      <c r="B756" s="9" t="n"/>
      <c r="C756" s="9" t="n"/>
      <c r="D756" s="9" t="n"/>
      <c r="E756" s="9" t="n"/>
      <c r="F756" s="8">
        <f>IF(A756="","",IFERROR(INDEX(Testes!$N$2:$N$500,MATCH(A756,Testes!$A$2:$A$500,0)),""))</f>
        <v/>
      </c>
      <c r="G756" s="8">
        <f>IF(F756="ocorrência","VP",IF(F756="sem ocorrência","FP",""))</f>
        <v/>
      </c>
      <c r="H756" s="7" t="n"/>
      <c r="I756" s="8">
        <f>IF(H756&lt;&gt;"",H756,G756)</f>
        <v/>
      </c>
    </row>
    <row r="757">
      <c r="A757" s="9" t="n"/>
      <c r="B757" s="9" t="n"/>
      <c r="C757" s="9" t="n"/>
      <c r="D757" s="9" t="n"/>
      <c r="E757" s="9" t="n"/>
      <c r="F757" s="8">
        <f>IF(A757="","",IFERROR(INDEX(Testes!$N$2:$N$500,MATCH(A757,Testes!$A$2:$A$500,0)),""))</f>
        <v/>
      </c>
      <c r="G757" s="8">
        <f>IF(F757="ocorrência","VP",IF(F757="sem ocorrência","FP",""))</f>
        <v/>
      </c>
      <c r="H757" s="7" t="n"/>
      <c r="I757" s="8">
        <f>IF(H757&lt;&gt;"",H757,G757)</f>
        <v/>
      </c>
    </row>
    <row r="758">
      <c r="A758" s="9" t="n"/>
      <c r="B758" s="9" t="n"/>
      <c r="C758" s="9" t="n"/>
      <c r="D758" s="9" t="n"/>
      <c r="E758" s="9" t="n"/>
      <c r="F758" s="8">
        <f>IF(A758="","",IFERROR(INDEX(Testes!$N$2:$N$500,MATCH(A758,Testes!$A$2:$A$500,0)),""))</f>
        <v/>
      </c>
      <c r="G758" s="8">
        <f>IF(F758="ocorrência","VP",IF(F758="sem ocorrência","FP",""))</f>
        <v/>
      </c>
      <c r="H758" s="7" t="n"/>
      <c r="I758" s="8">
        <f>IF(H758&lt;&gt;"",H758,G758)</f>
        <v/>
      </c>
    </row>
    <row r="759">
      <c r="A759" s="9" t="n"/>
      <c r="B759" s="9" t="n"/>
      <c r="C759" s="9" t="n"/>
      <c r="D759" s="9" t="n"/>
      <c r="E759" s="9" t="n"/>
      <c r="F759" s="8">
        <f>IF(A759="","",IFERROR(INDEX(Testes!$N$2:$N$500,MATCH(A759,Testes!$A$2:$A$500,0)),""))</f>
        <v/>
      </c>
      <c r="G759" s="8">
        <f>IF(F759="ocorrência","VP",IF(F759="sem ocorrência","FP",""))</f>
        <v/>
      </c>
      <c r="H759" s="7" t="n"/>
      <c r="I759" s="8">
        <f>IF(H759&lt;&gt;"",H759,G759)</f>
        <v/>
      </c>
    </row>
    <row r="760">
      <c r="A760" s="9" t="n"/>
      <c r="B760" s="9" t="n"/>
      <c r="C760" s="9" t="n"/>
      <c r="D760" s="9" t="n"/>
      <c r="E760" s="9" t="n"/>
      <c r="F760" s="8">
        <f>IF(A760="","",IFERROR(INDEX(Testes!$N$2:$N$500,MATCH(A760,Testes!$A$2:$A$500,0)),""))</f>
        <v/>
      </c>
      <c r="G760" s="8">
        <f>IF(F760="ocorrência","VP",IF(F760="sem ocorrência","FP",""))</f>
        <v/>
      </c>
      <c r="H760" s="7" t="n"/>
      <c r="I760" s="8">
        <f>IF(H760&lt;&gt;"",H760,G760)</f>
        <v/>
      </c>
    </row>
    <row r="761">
      <c r="A761" s="9" t="n"/>
      <c r="B761" s="9" t="n"/>
      <c r="C761" s="9" t="n"/>
      <c r="D761" s="9" t="n"/>
      <c r="E761" s="9" t="n"/>
      <c r="F761" s="8">
        <f>IF(A761="","",IFERROR(INDEX(Testes!$N$2:$N$500,MATCH(A761,Testes!$A$2:$A$500,0)),""))</f>
        <v/>
      </c>
      <c r="G761" s="8">
        <f>IF(F761="ocorrência","VP",IF(F761="sem ocorrência","FP",""))</f>
        <v/>
      </c>
      <c r="H761" s="7" t="n"/>
      <c r="I761" s="8">
        <f>IF(H761&lt;&gt;"",H761,G761)</f>
        <v/>
      </c>
    </row>
    <row r="762">
      <c r="A762" s="9" t="n"/>
      <c r="B762" s="9" t="n"/>
      <c r="C762" s="9" t="n"/>
      <c r="D762" s="9" t="n"/>
      <c r="E762" s="9" t="n"/>
      <c r="F762" s="8">
        <f>IF(A762="","",IFERROR(INDEX(Testes!$N$2:$N$500,MATCH(A762,Testes!$A$2:$A$500,0)),""))</f>
        <v/>
      </c>
      <c r="G762" s="8">
        <f>IF(F762="ocorrência","VP",IF(F762="sem ocorrência","FP",""))</f>
        <v/>
      </c>
      <c r="H762" s="7" t="n"/>
      <c r="I762" s="8">
        <f>IF(H762&lt;&gt;"",H762,G762)</f>
        <v/>
      </c>
    </row>
    <row r="763">
      <c r="A763" s="9" t="n"/>
      <c r="B763" s="9" t="n"/>
      <c r="C763" s="9" t="n"/>
      <c r="D763" s="9" t="n"/>
      <c r="E763" s="9" t="n"/>
      <c r="F763" s="8">
        <f>IF(A763="","",IFERROR(INDEX(Testes!$N$2:$N$500,MATCH(A763,Testes!$A$2:$A$500,0)),""))</f>
        <v/>
      </c>
      <c r="G763" s="8">
        <f>IF(F763="ocorrência","VP",IF(F763="sem ocorrência","FP",""))</f>
        <v/>
      </c>
      <c r="H763" s="7" t="n"/>
      <c r="I763" s="8">
        <f>IF(H763&lt;&gt;"",H763,G763)</f>
        <v/>
      </c>
    </row>
    <row r="764">
      <c r="A764" s="9" t="n"/>
      <c r="B764" s="9" t="n"/>
      <c r="C764" s="9" t="n"/>
      <c r="D764" s="9" t="n"/>
      <c r="E764" s="9" t="n"/>
      <c r="F764" s="8">
        <f>IF(A764="","",IFERROR(INDEX(Testes!$N$2:$N$500,MATCH(A764,Testes!$A$2:$A$500,0)),""))</f>
        <v/>
      </c>
      <c r="G764" s="8">
        <f>IF(F764="ocorrência","VP",IF(F764="sem ocorrência","FP",""))</f>
        <v/>
      </c>
      <c r="H764" s="7" t="n"/>
      <c r="I764" s="8">
        <f>IF(H764&lt;&gt;"",H764,G764)</f>
        <v/>
      </c>
    </row>
    <row r="765">
      <c r="A765" s="9" t="n"/>
      <c r="B765" s="9" t="n"/>
      <c r="C765" s="9" t="n"/>
      <c r="D765" s="9" t="n"/>
      <c r="E765" s="9" t="n"/>
      <c r="F765" s="8">
        <f>IF(A765="","",IFERROR(INDEX(Testes!$N$2:$N$500,MATCH(A765,Testes!$A$2:$A$500,0)),""))</f>
        <v/>
      </c>
      <c r="G765" s="8">
        <f>IF(F765="ocorrência","VP",IF(F765="sem ocorrência","FP",""))</f>
        <v/>
      </c>
      <c r="H765" s="7" t="n"/>
      <c r="I765" s="8">
        <f>IF(H765&lt;&gt;"",H765,G765)</f>
        <v/>
      </c>
    </row>
    <row r="766">
      <c r="A766" s="9" t="n"/>
      <c r="B766" s="9" t="n"/>
      <c r="C766" s="9" t="n"/>
      <c r="D766" s="9" t="n"/>
      <c r="E766" s="9" t="n"/>
      <c r="F766" s="8">
        <f>IF(A766="","",IFERROR(INDEX(Testes!$N$2:$N$500,MATCH(A766,Testes!$A$2:$A$500,0)),""))</f>
        <v/>
      </c>
      <c r="G766" s="8">
        <f>IF(F766="ocorrência","VP",IF(F766="sem ocorrência","FP",""))</f>
        <v/>
      </c>
      <c r="H766" s="7" t="n"/>
      <c r="I766" s="8">
        <f>IF(H766&lt;&gt;"",H766,G766)</f>
        <v/>
      </c>
    </row>
    <row r="767">
      <c r="A767" s="9" t="n"/>
      <c r="B767" s="9" t="n"/>
      <c r="C767" s="9" t="n"/>
      <c r="D767" s="9" t="n"/>
      <c r="E767" s="9" t="n"/>
      <c r="F767" s="8">
        <f>IF(A767="","",IFERROR(INDEX(Testes!$N$2:$N$500,MATCH(A767,Testes!$A$2:$A$500,0)),""))</f>
        <v/>
      </c>
      <c r="G767" s="8">
        <f>IF(F767="ocorrência","VP",IF(F767="sem ocorrência","FP",""))</f>
        <v/>
      </c>
      <c r="H767" s="7" t="n"/>
      <c r="I767" s="8">
        <f>IF(H767&lt;&gt;"",H767,G767)</f>
        <v/>
      </c>
    </row>
    <row r="768">
      <c r="A768" s="9" t="n"/>
      <c r="B768" s="9" t="n"/>
      <c r="C768" s="9" t="n"/>
      <c r="D768" s="9" t="n"/>
      <c r="E768" s="9" t="n"/>
      <c r="F768" s="8">
        <f>IF(A768="","",IFERROR(INDEX(Testes!$N$2:$N$500,MATCH(A768,Testes!$A$2:$A$500,0)),""))</f>
        <v/>
      </c>
      <c r="G768" s="8">
        <f>IF(F768="ocorrência","VP",IF(F768="sem ocorrência","FP",""))</f>
        <v/>
      </c>
      <c r="H768" s="7" t="n"/>
      <c r="I768" s="8">
        <f>IF(H768&lt;&gt;"",H768,G768)</f>
        <v/>
      </c>
    </row>
    <row r="769">
      <c r="A769" s="9" t="n"/>
      <c r="B769" s="9" t="n"/>
      <c r="C769" s="9" t="n"/>
      <c r="D769" s="9" t="n"/>
      <c r="E769" s="9" t="n"/>
      <c r="F769" s="8">
        <f>IF(A769="","",IFERROR(INDEX(Testes!$N$2:$N$500,MATCH(A769,Testes!$A$2:$A$500,0)),""))</f>
        <v/>
      </c>
      <c r="G769" s="8">
        <f>IF(F769="ocorrência","VP",IF(F769="sem ocorrência","FP",""))</f>
        <v/>
      </c>
      <c r="H769" s="7" t="n"/>
      <c r="I769" s="8">
        <f>IF(H769&lt;&gt;"",H769,G769)</f>
        <v/>
      </c>
    </row>
    <row r="770">
      <c r="A770" s="9" t="n"/>
      <c r="B770" s="9" t="n"/>
      <c r="C770" s="9" t="n"/>
      <c r="D770" s="9" t="n"/>
      <c r="E770" s="9" t="n"/>
      <c r="F770" s="8">
        <f>IF(A770="","",IFERROR(INDEX(Testes!$N$2:$N$500,MATCH(A770,Testes!$A$2:$A$500,0)),""))</f>
        <v/>
      </c>
      <c r="G770" s="8">
        <f>IF(F770="ocorrência","VP",IF(F770="sem ocorrência","FP",""))</f>
        <v/>
      </c>
      <c r="H770" s="7" t="n"/>
      <c r="I770" s="8">
        <f>IF(H770&lt;&gt;"",H770,G770)</f>
        <v/>
      </c>
    </row>
    <row r="771">
      <c r="A771" s="9" t="n"/>
      <c r="B771" s="9" t="n"/>
      <c r="C771" s="9" t="n"/>
      <c r="D771" s="9" t="n"/>
      <c r="E771" s="9" t="n"/>
      <c r="F771" s="8">
        <f>IF(A771="","",IFERROR(INDEX(Testes!$N$2:$N$500,MATCH(A771,Testes!$A$2:$A$500,0)),""))</f>
        <v/>
      </c>
      <c r="G771" s="8">
        <f>IF(F771="ocorrência","VP",IF(F771="sem ocorrência","FP",""))</f>
        <v/>
      </c>
      <c r="H771" s="7" t="n"/>
      <c r="I771" s="8">
        <f>IF(H771&lt;&gt;"",H771,G771)</f>
        <v/>
      </c>
    </row>
    <row r="772">
      <c r="A772" s="9" t="n"/>
      <c r="B772" s="9" t="n"/>
      <c r="C772" s="9" t="n"/>
      <c r="D772" s="9" t="n"/>
      <c r="E772" s="9" t="n"/>
      <c r="F772" s="8">
        <f>IF(A772="","",IFERROR(INDEX(Testes!$N$2:$N$500,MATCH(A772,Testes!$A$2:$A$500,0)),""))</f>
        <v/>
      </c>
      <c r="G772" s="8">
        <f>IF(F772="ocorrência","VP",IF(F772="sem ocorrência","FP",""))</f>
        <v/>
      </c>
      <c r="H772" s="7" t="n"/>
      <c r="I772" s="8">
        <f>IF(H772&lt;&gt;"",H772,G772)</f>
        <v/>
      </c>
    </row>
    <row r="773">
      <c r="A773" s="9" t="n"/>
      <c r="B773" s="9" t="n"/>
      <c r="C773" s="9" t="n"/>
      <c r="D773" s="9" t="n"/>
      <c r="E773" s="9" t="n"/>
      <c r="F773" s="8">
        <f>IF(A773="","",IFERROR(INDEX(Testes!$N$2:$N$500,MATCH(A773,Testes!$A$2:$A$500,0)),""))</f>
        <v/>
      </c>
      <c r="G773" s="8">
        <f>IF(F773="ocorrência","VP",IF(F773="sem ocorrência","FP",""))</f>
        <v/>
      </c>
      <c r="H773" s="7" t="n"/>
      <c r="I773" s="8">
        <f>IF(H773&lt;&gt;"",H773,G773)</f>
        <v/>
      </c>
    </row>
    <row r="774">
      <c r="A774" s="9" t="n"/>
      <c r="B774" s="9" t="n"/>
      <c r="C774" s="9" t="n"/>
      <c r="D774" s="9" t="n"/>
      <c r="E774" s="9" t="n"/>
      <c r="F774" s="8">
        <f>IF(A774="","",IFERROR(INDEX(Testes!$N$2:$N$500,MATCH(A774,Testes!$A$2:$A$500,0)),""))</f>
        <v/>
      </c>
      <c r="G774" s="8">
        <f>IF(F774="ocorrência","VP",IF(F774="sem ocorrência","FP",""))</f>
        <v/>
      </c>
      <c r="H774" s="7" t="n"/>
      <c r="I774" s="8">
        <f>IF(H774&lt;&gt;"",H774,G774)</f>
        <v/>
      </c>
    </row>
    <row r="775">
      <c r="A775" s="9" t="n"/>
      <c r="B775" s="9" t="n"/>
      <c r="C775" s="9" t="n"/>
      <c r="D775" s="9" t="n"/>
      <c r="E775" s="9" t="n"/>
      <c r="F775" s="8">
        <f>IF(A775="","",IFERROR(INDEX(Testes!$N$2:$N$500,MATCH(A775,Testes!$A$2:$A$500,0)),""))</f>
        <v/>
      </c>
      <c r="G775" s="8">
        <f>IF(F775="ocorrência","VP",IF(F775="sem ocorrência","FP",""))</f>
        <v/>
      </c>
      <c r="H775" s="7" t="n"/>
      <c r="I775" s="8">
        <f>IF(H775&lt;&gt;"",H775,G775)</f>
        <v/>
      </c>
    </row>
    <row r="776">
      <c r="A776" s="9" t="n"/>
      <c r="B776" s="9" t="n"/>
      <c r="C776" s="9" t="n"/>
      <c r="D776" s="9" t="n"/>
      <c r="E776" s="9" t="n"/>
      <c r="F776" s="8">
        <f>IF(A776="","",IFERROR(INDEX(Testes!$N$2:$N$500,MATCH(A776,Testes!$A$2:$A$500,0)),""))</f>
        <v/>
      </c>
      <c r="G776" s="8">
        <f>IF(F776="ocorrência","VP",IF(F776="sem ocorrência","FP",""))</f>
        <v/>
      </c>
      <c r="H776" s="7" t="n"/>
      <c r="I776" s="8">
        <f>IF(H776&lt;&gt;"",H776,G776)</f>
        <v/>
      </c>
    </row>
    <row r="777">
      <c r="A777" s="9" t="n"/>
      <c r="B777" s="9" t="n"/>
      <c r="C777" s="9" t="n"/>
      <c r="D777" s="9" t="n"/>
      <c r="E777" s="9" t="n"/>
      <c r="F777" s="8">
        <f>IF(A777="","",IFERROR(INDEX(Testes!$N$2:$N$500,MATCH(A777,Testes!$A$2:$A$500,0)),""))</f>
        <v/>
      </c>
      <c r="G777" s="8">
        <f>IF(F777="ocorrência","VP",IF(F777="sem ocorrência","FP",""))</f>
        <v/>
      </c>
      <c r="H777" s="7" t="n"/>
      <c r="I777" s="8">
        <f>IF(H777&lt;&gt;"",H777,G777)</f>
        <v/>
      </c>
    </row>
    <row r="778">
      <c r="A778" s="9" t="n"/>
      <c r="B778" s="9" t="n"/>
      <c r="C778" s="9" t="n"/>
      <c r="D778" s="9" t="n"/>
      <c r="E778" s="9" t="n"/>
      <c r="F778" s="8">
        <f>IF(A778="","",IFERROR(INDEX(Testes!$N$2:$N$500,MATCH(A778,Testes!$A$2:$A$500,0)),""))</f>
        <v/>
      </c>
      <c r="G778" s="8">
        <f>IF(F778="ocorrência","VP",IF(F778="sem ocorrência","FP",""))</f>
        <v/>
      </c>
      <c r="H778" s="7" t="n"/>
      <c r="I778" s="8">
        <f>IF(H778&lt;&gt;"",H778,G778)</f>
        <v/>
      </c>
    </row>
    <row r="779">
      <c r="A779" s="9" t="n"/>
      <c r="B779" s="9" t="n"/>
      <c r="C779" s="9" t="n"/>
      <c r="D779" s="9" t="n"/>
      <c r="E779" s="9" t="n"/>
      <c r="F779" s="8">
        <f>IF(A779="","",IFERROR(INDEX(Testes!$N$2:$N$500,MATCH(A779,Testes!$A$2:$A$500,0)),""))</f>
        <v/>
      </c>
      <c r="G779" s="8">
        <f>IF(F779="ocorrência","VP",IF(F779="sem ocorrência","FP",""))</f>
        <v/>
      </c>
      <c r="H779" s="7" t="n"/>
      <c r="I779" s="8">
        <f>IF(H779&lt;&gt;"",H779,G779)</f>
        <v/>
      </c>
    </row>
    <row r="780">
      <c r="A780" s="9" t="n"/>
      <c r="B780" s="9" t="n"/>
      <c r="C780" s="9" t="n"/>
      <c r="D780" s="9" t="n"/>
      <c r="E780" s="9" t="n"/>
      <c r="F780" s="8">
        <f>IF(A780="","",IFERROR(INDEX(Testes!$N$2:$N$500,MATCH(A780,Testes!$A$2:$A$500,0)),""))</f>
        <v/>
      </c>
      <c r="G780" s="8">
        <f>IF(F780="ocorrência","VP",IF(F780="sem ocorrência","FP",""))</f>
        <v/>
      </c>
      <c r="H780" s="7" t="n"/>
      <c r="I780" s="8">
        <f>IF(H780&lt;&gt;"",H780,G780)</f>
        <v/>
      </c>
    </row>
    <row r="781">
      <c r="A781" s="9" t="n"/>
      <c r="B781" s="9" t="n"/>
      <c r="C781" s="9" t="n"/>
      <c r="D781" s="9" t="n"/>
      <c r="E781" s="9" t="n"/>
      <c r="F781" s="8">
        <f>IF(A781="","",IFERROR(INDEX(Testes!$N$2:$N$500,MATCH(A781,Testes!$A$2:$A$500,0)),""))</f>
        <v/>
      </c>
      <c r="G781" s="8">
        <f>IF(F781="ocorrência","VP",IF(F781="sem ocorrência","FP",""))</f>
        <v/>
      </c>
      <c r="H781" s="7" t="n"/>
      <c r="I781" s="8">
        <f>IF(H781&lt;&gt;"",H781,G781)</f>
        <v/>
      </c>
    </row>
    <row r="782">
      <c r="A782" s="9" t="n"/>
      <c r="B782" s="9" t="n"/>
      <c r="C782" s="9" t="n"/>
      <c r="D782" s="9" t="n"/>
      <c r="E782" s="9" t="n"/>
      <c r="F782" s="8">
        <f>IF(A782="","",IFERROR(INDEX(Testes!$N$2:$N$500,MATCH(A782,Testes!$A$2:$A$500,0)),""))</f>
        <v/>
      </c>
      <c r="G782" s="8">
        <f>IF(F782="ocorrência","VP",IF(F782="sem ocorrência","FP",""))</f>
        <v/>
      </c>
      <c r="H782" s="7" t="n"/>
      <c r="I782" s="8">
        <f>IF(H782&lt;&gt;"",H782,G782)</f>
        <v/>
      </c>
    </row>
    <row r="783">
      <c r="A783" s="9" t="n"/>
      <c r="B783" s="9" t="n"/>
      <c r="C783" s="9" t="n"/>
      <c r="D783" s="9" t="n"/>
      <c r="E783" s="9" t="n"/>
      <c r="F783" s="8">
        <f>IF(A783="","",IFERROR(INDEX(Testes!$N$2:$N$500,MATCH(A783,Testes!$A$2:$A$500,0)),""))</f>
        <v/>
      </c>
      <c r="G783" s="8">
        <f>IF(F783="ocorrência","VP",IF(F783="sem ocorrência","FP",""))</f>
        <v/>
      </c>
      <c r="H783" s="7" t="n"/>
      <c r="I783" s="8">
        <f>IF(H783&lt;&gt;"",H783,G783)</f>
        <v/>
      </c>
    </row>
    <row r="784">
      <c r="A784" s="9" t="n"/>
      <c r="B784" s="9" t="n"/>
      <c r="C784" s="9" t="n"/>
      <c r="D784" s="9" t="n"/>
      <c r="E784" s="9" t="n"/>
      <c r="F784" s="8">
        <f>IF(A784="","",IFERROR(INDEX(Testes!$N$2:$N$500,MATCH(A784,Testes!$A$2:$A$500,0)),""))</f>
        <v/>
      </c>
      <c r="G784" s="8">
        <f>IF(F784="ocorrência","VP",IF(F784="sem ocorrência","FP",""))</f>
        <v/>
      </c>
      <c r="H784" s="7" t="n"/>
      <c r="I784" s="8">
        <f>IF(H784&lt;&gt;"",H784,G784)</f>
        <v/>
      </c>
    </row>
    <row r="785">
      <c r="A785" s="9" t="n"/>
      <c r="B785" s="9" t="n"/>
      <c r="C785" s="9" t="n"/>
      <c r="D785" s="9" t="n"/>
      <c r="E785" s="9" t="n"/>
      <c r="F785" s="8">
        <f>IF(A785="","",IFERROR(INDEX(Testes!$N$2:$N$500,MATCH(A785,Testes!$A$2:$A$500,0)),""))</f>
        <v/>
      </c>
      <c r="G785" s="8">
        <f>IF(F785="ocorrência","VP",IF(F785="sem ocorrência","FP",""))</f>
        <v/>
      </c>
      <c r="H785" s="7" t="n"/>
      <c r="I785" s="8">
        <f>IF(H785&lt;&gt;"",H785,G785)</f>
        <v/>
      </c>
    </row>
    <row r="786">
      <c r="A786" s="9" t="n"/>
      <c r="B786" s="9" t="n"/>
      <c r="C786" s="9" t="n"/>
      <c r="D786" s="9" t="n"/>
      <c r="E786" s="9" t="n"/>
      <c r="F786" s="8">
        <f>IF(A786="","",IFERROR(INDEX(Testes!$N$2:$N$500,MATCH(A786,Testes!$A$2:$A$500,0)),""))</f>
        <v/>
      </c>
      <c r="G786" s="8">
        <f>IF(F786="ocorrência","VP",IF(F786="sem ocorrência","FP",""))</f>
        <v/>
      </c>
      <c r="H786" s="7" t="n"/>
      <c r="I786" s="8">
        <f>IF(H786&lt;&gt;"",H786,G786)</f>
        <v/>
      </c>
    </row>
    <row r="787">
      <c r="A787" s="9" t="n"/>
      <c r="B787" s="9" t="n"/>
      <c r="C787" s="9" t="n"/>
      <c r="D787" s="9" t="n"/>
      <c r="E787" s="9" t="n"/>
      <c r="F787" s="8">
        <f>IF(A787="","",IFERROR(INDEX(Testes!$N$2:$N$500,MATCH(A787,Testes!$A$2:$A$500,0)),""))</f>
        <v/>
      </c>
      <c r="G787" s="8">
        <f>IF(F787="ocorrência","VP",IF(F787="sem ocorrência","FP",""))</f>
        <v/>
      </c>
      <c r="H787" s="7" t="n"/>
      <c r="I787" s="8">
        <f>IF(H787&lt;&gt;"",H787,G787)</f>
        <v/>
      </c>
    </row>
    <row r="788">
      <c r="A788" s="9" t="n"/>
      <c r="B788" s="9" t="n"/>
      <c r="C788" s="9" t="n"/>
      <c r="D788" s="9" t="n"/>
      <c r="E788" s="9" t="n"/>
      <c r="F788" s="8">
        <f>IF(A788="","",IFERROR(INDEX(Testes!$N$2:$N$500,MATCH(A788,Testes!$A$2:$A$500,0)),""))</f>
        <v/>
      </c>
      <c r="G788" s="8">
        <f>IF(F788="ocorrência","VP",IF(F788="sem ocorrência","FP",""))</f>
        <v/>
      </c>
      <c r="H788" s="7" t="n"/>
      <c r="I788" s="8">
        <f>IF(H788&lt;&gt;"",H788,G788)</f>
        <v/>
      </c>
    </row>
    <row r="789">
      <c r="A789" s="9" t="n"/>
      <c r="B789" s="9" t="n"/>
      <c r="C789" s="9" t="n"/>
      <c r="D789" s="9" t="n"/>
      <c r="E789" s="9" t="n"/>
      <c r="F789" s="8">
        <f>IF(A789="","",IFERROR(INDEX(Testes!$N$2:$N$500,MATCH(A789,Testes!$A$2:$A$500,0)),""))</f>
        <v/>
      </c>
      <c r="G789" s="8">
        <f>IF(F789="ocorrência","VP",IF(F789="sem ocorrência","FP",""))</f>
        <v/>
      </c>
      <c r="H789" s="7" t="n"/>
      <c r="I789" s="8">
        <f>IF(H789&lt;&gt;"",H789,G789)</f>
        <v/>
      </c>
    </row>
    <row r="790">
      <c r="A790" s="9" t="n"/>
      <c r="B790" s="9" t="n"/>
      <c r="C790" s="9" t="n"/>
      <c r="D790" s="9" t="n"/>
      <c r="E790" s="9" t="n"/>
      <c r="F790" s="8">
        <f>IF(A790="","",IFERROR(INDEX(Testes!$N$2:$N$500,MATCH(A790,Testes!$A$2:$A$500,0)),""))</f>
        <v/>
      </c>
      <c r="G790" s="8">
        <f>IF(F790="ocorrência","VP",IF(F790="sem ocorrência","FP",""))</f>
        <v/>
      </c>
      <c r="H790" s="7" t="n"/>
      <c r="I790" s="8">
        <f>IF(H790&lt;&gt;"",H790,G790)</f>
        <v/>
      </c>
    </row>
    <row r="791">
      <c r="A791" s="9" t="n"/>
      <c r="B791" s="9" t="n"/>
      <c r="C791" s="9" t="n"/>
      <c r="D791" s="9" t="n"/>
      <c r="E791" s="9" t="n"/>
      <c r="F791" s="8">
        <f>IF(A791="","",IFERROR(INDEX(Testes!$N$2:$N$500,MATCH(A791,Testes!$A$2:$A$500,0)),""))</f>
        <v/>
      </c>
      <c r="G791" s="8">
        <f>IF(F791="ocorrência","VP",IF(F791="sem ocorrência","FP",""))</f>
        <v/>
      </c>
      <c r="H791" s="7" t="n"/>
      <c r="I791" s="8">
        <f>IF(H791&lt;&gt;"",H791,G791)</f>
        <v/>
      </c>
    </row>
    <row r="792">
      <c r="A792" s="9" t="n"/>
      <c r="B792" s="9" t="n"/>
      <c r="C792" s="9" t="n"/>
      <c r="D792" s="9" t="n"/>
      <c r="E792" s="9" t="n"/>
      <c r="F792" s="8">
        <f>IF(A792="","",IFERROR(INDEX(Testes!$N$2:$N$500,MATCH(A792,Testes!$A$2:$A$500,0)),""))</f>
        <v/>
      </c>
      <c r="G792" s="8">
        <f>IF(F792="ocorrência","VP",IF(F792="sem ocorrência","FP",""))</f>
        <v/>
      </c>
      <c r="H792" s="7" t="n"/>
      <c r="I792" s="8">
        <f>IF(H792&lt;&gt;"",H792,G792)</f>
        <v/>
      </c>
    </row>
    <row r="793">
      <c r="A793" s="9" t="n"/>
      <c r="B793" s="9" t="n"/>
      <c r="C793" s="9" t="n"/>
      <c r="D793" s="9" t="n"/>
      <c r="E793" s="9" t="n"/>
      <c r="F793" s="8">
        <f>IF(A793="","",IFERROR(INDEX(Testes!$N$2:$N$500,MATCH(A793,Testes!$A$2:$A$500,0)),""))</f>
        <v/>
      </c>
      <c r="G793" s="8">
        <f>IF(F793="ocorrência","VP",IF(F793="sem ocorrência","FP",""))</f>
        <v/>
      </c>
      <c r="H793" s="7" t="n"/>
      <c r="I793" s="8">
        <f>IF(H793&lt;&gt;"",H793,G793)</f>
        <v/>
      </c>
    </row>
    <row r="794">
      <c r="A794" s="9" t="n"/>
      <c r="B794" s="9" t="n"/>
      <c r="C794" s="9" t="n"/>
      <c r="D794" s="9" t="n"/>
      <c r="E794" s="9" t="n"/>
      <c r="F794" s="8">
        <f>IF(A794="","",IFERROR(INDEX(Testes!$N$2:$N$500,MATCH(A794,Testes!$A$2:$A$500,0)),""))</f>
        <v/>
      </c>
      <c r="G794" s="8">
        <f>IF(F794="ocorrência","VP",IF(F794="sem ocorrência","FP",""))</f>
        <v/>
      </c>
      <c r="H794" s="7" t="n"/>
      <c r="I794" s="8">
        <f>IF(H794&lt;&gt;"",H794,G794)</f>
        <v/>
      </c>
    </row>
    <row r="795">
      <c r="A795" s="9" t="n"/>
      <c r="B795" s="9" t="n"/>
      <c r="C795" s="9" t="n"/>
      <c r="D795" s="9" t="n"/>
      <c r="E795" s="9" t="n"/>
      <c r="F795" s="8">
        <f>IF(A795="","",IFERROR(INDEX(Testes!$N$2:$N$500,MATCH(A795,Testes!$A$2:$A$500,0)),""))</f>
        <v/>
      </c>
      <c r="G795" s="8">
        <f>IF(F795="ocorrência","VP",IF(F795="sem ocorrência","FP",""))</f>
        <v/>
      </c>
      <c r="H795" s="7" t="n"/>
      <c r="I795" s="8">
        <f>IF(H795&lt;&gt;"",H795,G795)</f>
        <v/>
      </c>
    </row>
    <row r="796">
      <c r="A796" s="9" t="n"/>
      <c r="B796" s="9" t="n"/>
      <c r="C796" s="9" t="n"/>
      <c r="D796" s="9" t="n"/>
      <c r="E796" s="9" t="n"/>
      <c r="F796" s="8">
        <f>IF(A796="","",IFERROR(INDEX(Testes!$N$2:$N$500,MATCH(A796,Testes!$A$2:$A$500,0)),""))</f>
        <v/>
      </c>
      <c r="G796" s="8">
        <f>IF(F796="ocorrência","VP",IF(F796="sem ocorrência","FP",""))</f>
        <v/>
      </c>
      <c r="H796" s="7" t="n"/>
      <c r="I796" s="8">
        <f>IF(H796&lt;&gt;"",H796,G796)</f>
        <v/>
      </c>
    </row>
    <row r="797">
      <c r="A797" s="9" t="n"/>
      <c r="B797" s="9" t="n"/>
      <c r="C797" s="9" t="n"/>
      <c r="D797" s="9" t="n"/>
      <c r="E797" s="9" t="n"/>
      <c r="F797" s="8">
        <f>IF(A797="","",IFERROR(INDEX(Testes!$N$2:$N$500,MATCH(A797,Testes!$A$2:$A$500,0)),""))</f>
        <v/>
      </c>
      <c r="G797" s="8">
        <f>IF(F797="ocorrência","VP",IF(F797="sem ocorrência","FP",""))</f>
        <v/>
      </c>
      <c r="H797" s="7" t="n"/>
      <c r="I797" s="8">
        <f>IF(H797&lt;&gt;"",H797,G797)</f>
        <v/>
      </c>
    </row>
    <row r="798">
      <c r="A798" s="9" t="n"/>
      <c r="B798" s="9" t="n"/>
      <c r="C798" s="9" t="n"/>
      <c r="D798" s="9" t="n"/>
      <c r="E798" s="9" t="n"/>
      <c r="F798" s="8">
        <f>IF(A798="","",IFERROR(INDEX(Testes!$N$2:$N$500,MATCH(A798,Testes!$A$2:$A$500,0)),""))</f>
        <v/>
      </c>
      <c r="G798" s="8">
        <f>IF(F798="ocorrência","VP",IF(F798="sem ocorrência","FP",""))</f>
        <v/>
      </c>
      <c r="H798" s="7" t="n"/>
      <c r="I798" s="8">
        <f>IF(H798&lt;&gt;"",H798,G798)</f>
        <v/>
      </c>
    </row>
    <row r="799">
      <c r="A799" s="9" t="n"/>
      <c r="B799" s="9" t="n"/>
      <c r="C799" s="9" t="n"/>
      <c r="D799" s="9" t="n"/>
      <c r="E799" s="9" t="n"/>
      <c r="F799" s="8">
        <f>IF(A799="","",IFERROR(INDEX(Testes!$N$2:$N$500,MATCH(A799,Testes!$A$2:$A$500,0)),""))</f>
        <v/>
      </c>
      <c r="G799" s="8">
        <f>IF(F799="ocorrência","VP",IF(F799="sem ocorrência","FP",""))</f>
        <v/>
      </c>
      <c r="H799" s="7" t="n"/>
      <c r="I799" s="8">
        <f>IF(H799&lt;&gt;"",H799,G799)</f>
        <v/>
      </c>
    </row>
    <row r="800">
      <c r="A800" s="9" t="n"/>
      <c r="B800" s="9" t="n"/>
      <c r="C800" s="9" t="n"/>
      <c r="D800" s="9" t="n"/>
      <c r="E800" s="9" t="n"/>
      <c r="F800" s="8">
        <f>IF(A800="","",IFERROR(INDEX(Testes!$N$2:$N$500,MATCH(A800,Testes!$A$2:$A$500,0)),""))</f>
        <v/>
      </c>
      <c r="G800" s="8">
        <f>IF(F800="ocorrência","VP",IF(F800="sem ocorrência","FP",""))</f>
        <v/>
      </c>
      <c r="H800" s="7" t="n"/>
      <c r="I800" s="8">
        <f>IF(H800&lt;&gt;"",H800,G800)</f>
        <v/>
      </c>
    </row>
    <row r="801">
      <c r="A801" s="9" t="n"/>
      <c r="B801" s="9" t="n"/>
      <c r="C801" s="9" t="n"/>
      <c r="D801" s="9" t="n"/>
      <c r="E801" s="9" t="n"/>
      <c r="F801" s="8">
        <f>IF(A801="","",IFERROR(INDEX(Testes!$N$2:$N$500,MATCH(A801,Testes!$A$2:$A$500,0)),""))</f>
        <v/>
      </c>
      <c r="G801" s="8">
        <f>IF(F801="ocorrência","VP",IF(F801="sem ocorrência","FP",""))</f>
        <v/>
      </c>
      <c r="H801" s="7" t="n"/>
      <c r="I801" s="8">
        <f>IF(H801&lt;&gt;"",H801,G801)</f>
        <v/>
      </c>
    </row>
    <row r="802">
      <c r="A802" s="9" t="n"/>
      <c r="B802" s="9" t="n"/>
      <c r="C802" s="9" t="n"/>
      <c r="D802" s="9" t="n"/>
      <c r="E802" s="9" t="n"/>
      <c r="F802" s="8">
        <f>IF(A802="","",IFERROR(INDEX(Testes!$N$2:$N$500,MATCH(A802,Testes!$A$2:$A$500,0)),""))</f>
        <v/>
      </c>
      <c r="G802" s="8">
        <f>IF(F802="ocorrência","VP",IF(F802="sem ocorrência","FP",""))</f>
        <v/>
      </c>
      <c r="H802" s="7" t="n"/>
      <c r="I802" s="8">
        <f>IF(H802&lt;&gt;"",H802,G802)</f>
        <v/>
      </c>
    </row>
    <row r="803">
      <c r="A803" s="9" t="n"/>
      <c r="B803" s="9" t="n"/>
      <c r="C803" s="9" t="n"/>
      <c r="D803" s="9" t="n"/>
      <c r="E803" s="9" t="n"/>
      <c r="F803" s="8">
        <f>IF(A803="","",IFERROR(INDEX(Testes!$N$2:$N$500,MATCH(A803,Testes!$A$2:$A$500,0)),""))</f>
        <v/>
      </c>
      <c r="G803" s="8">
        <f>IF(F803="ocorrência","VP",IF(F803="sem ocorrência","FP",""))</f>
        <v/>
      </c>
      <c r="H803" s="7" t="n"/>
      <c r="I803" s="8">
        <f>IF(H803&lt;&gt;"",H803,G803)</f>
        <v/>
      </c>
    </row>
    <row r="804">
      <c r="A804" s="9" t="n"/>
      <c r="B804" s="9" t="n"/>
      <c r="C804" s="9" t="n"/>
      <c r="D804" s="9" t="n"/>
      <c r="E804" s="9" t="n"/>
      <c r="F804" s="8">
        <f>IF(A804="","",IFERROR(INDEX(Testes!$N$2:$N$500,MATCH(A804,Testes!$A$2:$A$500,0)),""))</f>
        <v/>
      </c>
      <c r="G804" s="8">
        <f>IF(F804="ocorrência","VP",IF(F804="sem ocorrência","FP",""))</f>
        <v/>
      </c>
      <c r="H804" s="7" t="n"/>
      <c r="I804" s="8">
        <f>IF(H804&lt;&gt;"",H804,G804)</f>
        <v/>
      </c>
    </row>
    <row r="805">
      <c r="A805" s="9" t="n"/>
      <c r="B805" s="9" t="n"/>
      <c r="C805" s="9" t="n"/>
      <c r="D805" s="9" t="n"/>
      <c r="E805" s="9" t="n"/>
      <c r="F805" s="8">
        <f>IF(A805="","",IFERROR(INDEX(Testes!$N$2:$N$500,MATCH(A805,Testes!$A$2:$A$500,0)),""))</f>
        <v/>
      </c>
      <c r="G805" s="8">
        <f>IF(F805="ocorrência","VP",IF(F805="sem ocorrência","FP",""))</f>
        <v/>
      </c>
      <c r="H805" s="7" t="n"/>
      <c r="I805" s="8">
        <f>IF(H805&lt;&gt;"",H805,G805)</f>
        <v/>
      </c>
    </row>
    <row r="806">
      <c r="A806" s="9" t="n"/>
      <c r="B806" s="9" t="n"/>
      <c r="C806" s="9" t="n"/>
      <c r="D806" s="9" t="n"/>
      <c r="E806" s="9" t="n"/>
      <c r="F806" s="8">
        <f>IF(A806="","",IFERROR(INDEX(Testes!$N$2:$N$500,MATCH(A806,Testes!$A$2:$A$500,0)),""))</f>
        <v/>
      </c>
      <c r="G806" s="8">
        <f>IF(F806="ocorrência","VP",IF(F806="sem ocorrência","FP",""))</f>
        <v/>
      </c>
      <c r="H806" s="7" t="n"/>
      <c r="I806" s="8">
        <f>IF(H806&lt;&gt;"",H806,G806)</f>
        <v/>
      </c>
    </row>
    <row r="807">
      <c r="A807" s="9" t="n"/>
      <c r="B807" s="9" t="n"/>
      <c r="C807" s="9" t="n"/>
      <c r="D807" s="9" t="n"/>
      <c r="E807" s="9" t="n"/>
      <c r="F807" s="8">
        <f>IF(A807="","",IFERROR(INDEX(Testes!$N$2:$N$500,MATCH(A807,Testes!$A$2:$A$500,0)),""))</f>
        <v/>
      </c>
      <c r="G807" s="8">
        <f>IF(F807="ocorrência","VP",IF(F807="sem ocorrência","FP",""))</f>
        <v/>
      </c>
      <c r="H807" s="7" t="n"/>
      <c r="I807" s="8">
        <f>IF(H807&lt;&gt;"",H807,G807)</f>
        <v/>
      </c>
    </row>
    <row r="808">
      <c r="A808" s="9" t="n"/>
      <c r="B808" s="9" t="n"/>
      <c r="C808" s="9" t="n"/>
      <c r="D808" s="9" t="n"/>
      <c r="E808" s="9" t="n"/>
      <c r="F808" s="8">
        <f>IF(A808="","",IFERROR(INDEX(Testes!$N$2:$N$500,MATCH(A808,Testes!$A$2:$A$500,0)),""))</f>
        <v/>
      </c>
      <c r="G808" s="8">
        <f>IF(F808="ocorrência","VP",IF(F808="sem ocorrência","FP",""))</f>
        <v/>
      </c>
      <c r="H808" s="7" t="n"/>
      <c r="I808" s="8">
        <f>IF(H808&lt;&gt;"",H808,G808)</f>
        <v/>
      </c>
    </row>
    <row r="809">
      <c r="A809" s="9" t="n"/>
      <c r="B809" s="9" t="n"/>
      <c r="C809" s="9" t="n"/>
      <c r="D809" s="9" t="n"/>
      <c r="E809" s="9" t="n"/>
      <c r="F809" s="8">
        <f>IF(A809="","",IFERROR(INDEX(Testes!$N$2:$N$500,MATCH(A809,Testes!$A$2:$A$500,0)),""))</f>
        <v/>
      </c>
      <c r="G809" s="8">
        <f>IF(F809="ocorrência","VP",IF(F809="sem ocorrência","FP",""))</f>
        <v/>
      </c>
      <c r="H809" s="7" t="n"/>
      <c r="I809" s="8">
        <f>IF(H809&lt;&gt;"",H809,G809)</f>
        <v/>
      </c>
    </row>
    <row r="810">
      <c r="A810" s="9" t="n"/>
      <c r="B810" s="9" t="n"/>
      <c r="C810" s="9" t="n"/>
      <c r="D810" s="9" t="n"/>
      <c r="E810" s="9" t="n"/>
      <c r="F810" s="8">
        <f>IF(A810="","",IFERROR(INDEX(Testes!$N$2:$N$500,MATCH(A810,Testes!$A$2:$A$500,0)),""))</f>
        <v/>
      </c>
      <c r="G810" s="8">
        <f>IF(F810="ocorrência","VP",IF(F810="sem ocorrência","FP",""))</f>
        <v/>
      </c>
      <c r="H810" s="7" t="n"/>
      <c r="I810" s="8">
        <f>IF(H810&lt;&gt;"",H810,G810)</f>
        <v/>
      </c>
    </row>
    <row r="811">
      <c r="A811" s="9" t="n"/>
      <c r="B811" s="9" t="n"/>
      <c r="C811" s="9" t="n"/>
      <c r="D811" s="9" t="n"/>
      <c r="E811" s="9" t="n"/>
      <c r="F811" s="8">
        <f>IF(A811="","",IFERROR(INDEX(Testes!$N$2:$N$500,MATCH(A811,Testes!$A$2:$A$500,0)),""))</f>
        <v/>
      </c>
      <c r="G811" s="8">
        <f>IF(F811="ocorrência","VP",IF(F811="sem ocorrência","FP",""))</f>
        <v/>
      </c>
      <c r="H811" s="7" t="n"/>
      <c r="I811" s="8">
        <f>IF(H811&lt;&gt;"",H811,G811)</f>
        <v/>
      </c>
    </row>
    <row r="812">
      <c r="A812" s="9" t="n"/>
      <c r="B812" s="9" t="n"/>
      <c r="C812" s="9" t="n"/>
      <c r="D812" s="9" t="n"/>
      <c r="E812" s="9" t="n"/>
      <c r="F812" s="8">
        <f>IF(A812="","",IFERROR(INDEX(Testes!$N$2:$N$500,MATCH(A812,Testes!$A$2:$A$500,0)),""))</f>
        <v/>
      </c>
      <c r="G812" s="8">
        <f>IF(F812="ocorrência","VP",IF(F812="sem ocorrência","FP",""))</f>
        <v/>
      </c>
      <c r="H812" s="7" t="n"/>
      <c r="I812" s="8">
        <f>IF(H812&lt;&gt;"",H812,G812)</f>
        <v/>
      </c>
    </row>
    <row r="813">
      <c r="A813" s="9" t="n"/>
      <c r="B813" s="9" t="n"/>
      <c r="C813" s="9" t="n"/>
      <c r="D813" s="9" t="n"/>
      <c r="E813" s="9" t="n"/>
      <c r="F813" s="8">
        <f>IF(A813="","",IFERROR(INDEX(Testes!$N$2:$N$500,MATCH(A813,Testes!$A$2:$A$500,0)),""))</f>
        <v/>
      </c>
      <c r="G813" s="8">
        <f>IF(F813="ocorrência","VP",IF(F813="sem ocorrência","FP",""))</f>
        <v/>
      </c>
      <c r="H813" s="7" t="n"/>
      <c r="I813" s="8">
        <f>IF(H813&lt;&gt;"",H813,G813)</f>
        <v/>
      </c>
    </row>
    <row r="814">
      <c r="A814" s="9" t="n"/>
      <c r="B814" s="9" t="n"/>
      <c r="C814" s="9" t="n"/>
      <c r="D814" s="9" t="n"/>
      <c r="E814" s="9" t="n"/>
      <c r="F814" s="8">
        <f>IF(A814="","",IFERROR(INDEX(Testes!$N$2:$N$500,MATCH(A814,Testes!$A$2:$A$500,0)),""))</f>
        <v/>
      </c>
      <c r="G814" s="8">
        <f>IF(F814="ocorrência","VP",IF(F814="sem ocorrência","FP",""))</f>
        <v/>
      </c>
      <c r="H814" s="7" t="n"/>
      <c r="I814" s="8">
        <f>IF(H814&lt;&gt;"",H814,G814)</f>
        <v/>
      </c>
    </row>
    <row r="815">
      <c r="A815" s="9" t="n"/>
      <c r="B815" s="9" t="n"/>
      <c r="C815" s="9" t="n"/>
      <c r="D815" s="9" t="n"/>
      <c r="E815" s="9" t="n"/>
      <c r="F815" s="8">
        <f>IF(A815="","",IFERROR(INDEX(Testes!$N$2:$N$500,MATCH(A815,Testes!$A$2:$A$500,0)),""))</f>
        <v/>
      </c>
      <c r="G815" s="8">
        <f>IF(F815="ocorrência","VP",IF(F815="sem ocorrência","FP",""))</f>
        <v/>
      </c>
      <c r="H815" s="7" t="n"/>
      <c r="I815" s="8">
        <f>IF(H815&lt;&gt;"",H815,G815)</f>
        <v/>
      </c>
    </row>
    <row r="816">
      <c r="A816" s="9" t="n"/>
      <c r="B816" s="9" t="n"/>
      <c r="C816" s="9" t="n"/>
      <c r="D816" s="9" t="n"/>
      <c r="E816" s="9" t="n"/>
      <c r="F816" s="8">
        <f>IF(A816="","",IFERROR(INDEX(Testes!$N$2:$N$500,MATCH(A816,Testes!$A$2:$A$500,0)),""))</f>
        <v/>
      </c>
      <c r="G816" s="8">
        <f>IF(F816="ocorrência","VP",IF(F816="sem ocorrência","FP",""))</f>
        <v/>
      </c>
      <c r="H816" s="7" t="n"/>
      <c r="I816" s="8">
        <f>IF(H816&lt;&gt;"",H816,G816)</f>
        <v/>
      </c>
    </row>
    <row r="817">
      <c r="A817" s="9" t="n"/>
      <c r="B817" s="9" t="n"/>
      <c r="C817" s="9" t="n"/>
      <c r="D817" s="9" t="n"/>
      <c r="E817" s="9" t="n"/>
      <c r="F817" s="8">
        <f>IF(A817="","",IFERROR(INDEX(Testes!$N$2:$N$500,MATCH(A817,Testes!$A$2:$A$500,0)),""))</f>
        <v/>
      </c>
      <c r="G817" s="8">
        <f>IF(F817="ocorrência","VP",IF(F817="sem ocorrência","FP",""))</f>
        <v/>
      </c>
      <c r="H817" s="7" t="n"/>
      <c r="I817" s="8">
        <f>IF(H817&lt;&gt;"",H817,G817)</f>
        <v/>
      </c>
    </row>
    <row r="818">
      <c r="A818" s="9" t="n"/>
      <c r="B818" s="9" t="n"/>
      <c r="C818" s="9" t="n"/>
      <c r="D818" s="9" t="n"/>
      <c r="E818" s="9" t="n"/>
      <c r="F818" s="8">
        <f>IF(A818="","",IFERROR(INDEX(Testes!$N$2:$N$500,MATCH(A818,Testes!$A$2:$A$500,0)),""))</f>
        <v/>
      </c>
      <c r="G818" s="8">
        <f>IF(F818="ocorrência","VP",IF(F818="sem ocorrência","FP",""))</f>
        <v/>
      </c>
      <c r="H818" s="7" t="n"/>
      <c r="I818" s="8">
        <f>IF(H818&lt;&gt;"",H818,G818)</f>
        <v/>
      </c>
    </row>
    <row r="819">
      <c r="A819" s="9" t="n"/>
      <c r="B819" s="9" t="n"/>
      <c r="C819" s="9" t="n"/>
      <c r="D819" s="9" t="n"/>
      <c r="E819" s="9" t="n"/>
      <c r="F819" s="8">
        <f>IF(A819="","",IFERROR(INDEX(Testes!$N$2:$N$500,MATCH(A819,Testes!$A$2:$A$500,0)),""))</f>
        <v/>
      </c>
      <c r="G819" s="8">
        <f>IF(F819="ocorrência","VP",IF(F819="sem ocorrência","FP",""))</f>
        <v/>
      </c>
      <c r="H819" s="7" t="n"/>
      <c r="I819" s="8">
        <f>IF(H819&lt;&gt;"",H819,G819)</f>
        <v/>
      </c>
    </row>
    <row r="820">
      <c r="A820" s="9" t="n"/>
      <c r="B820" s="9" t="n"/>
      <c r="C820" s="9" t="n"/>
      <c r="D820" s="9" t="n"/>
      <c r="E820" s="9" t="n"/>
      <c r="F820" s="8">
        <f>IF(A820="","",IFERROR(INDEX(Testes!$N$2:$N$500,MATCH(A820,Testes!$A$2:$A$500,0)),""))</f>
        <v/>
      </c>
      <c r="G820" s="8">
        <f>IF(F820="ocorrência","VP",IF(F820="sem ocorrência","FP",""))</f>
        <v/>
      </c>
      <c r="H820" s="7" t="n"/>
      <c r="I820" s="8">
        <f>IF(H820&lt;&gt;"",H820,G820)</f>
        <v/>
      </c>
    </row>
    <row r="821">
      <c r="A821" s="9" t="n"/>
      <c r="B821" s="9" t="n"/>
      <c r="C821" s="9" t="n"/>
      <c r="D821" s="9" t="n"/>
      <c r="E821" s="9" t="n"/>
      <c r="F821" s="8">
        <f>IF(A821="","",IFERROR(INDEX(Testes!$N$2:$N$500,MATCH(A821,Testes!$A$2:$A$500,0)),""))</f>
        <v/>
      </c>
      <c r="G821" s="8">
        <f>IF(F821="ocorrência","VP",IF(F821="sem ocorrência","FP",""))</f>
        <v/>
      </c>
      <c r="H821" s="7" t="n"/>
      <c r="I821" s="8">
        <f>IF(H821&lt;&gt;"",H821,G821)</f>
        <v/>
      </c>
    </row>
    <row r="822">
      <c r="A822" s="9" t="n"/>
      <c r="B822" s="9" t="n"/>
      <c r="C822" s="9" t="n"/>
      <c r="D822" s="9" t="n"/>
      <c r="E822" s="9" t="n"/>
      <c r="F822" s="8">
        <f>IF(A822="","",IFERROR(INDEX(Testes!$N$2:$N$500,MATCH(A822,Testes!$A$2:$A$500,0)),""))</f>
        <v/>
      </c>
      <c r="G822" s="8">
        <f>IF(F822="ocorrência","VP",IF(F822="sem ocorrência","FP",""))</f>
        <v/>
      </c>
      <c r="H822" s="7" t="n"/>
      <c r="I822" s="8">
        <f>IF(H822&lt;&gt;"",H822,G822)</f>
        <v/>
      </c>
    </row>
    <row r="823">
      <c r="A823" s="9" t="n"/>
      <c r="B823" s="9" t="n"/>
      <c r="C823" s="9" t="n"/>
      <c r="D823" s="9" t="n"/>
      <c r="E823" s="9" t="n"/>
      <c r="F823" s="8">
        <f>IF(A823="","",IFERROR(INDEX(Testes!$N$2:$N$500,MATCH(A823,Testes!$A$2:$A$500,0)),""))</f>
        <v/>
      </c>
      <c r="G823" s="8">
        <f>IF(F823="ocorrência","VP",IF(F823="sem ocorrência","FP",""))</f>
        <v/>
      </c>
      <c r="H823" s="7" t="n"/>
      <c r="I823" s="8">
        <f>IF(H823&lt;&gt;"",H823,G823)</f>
        <v/>
      </c>
    </row>
    <row r="824">
      <c r="A824" s="9" t="n"/>
      <c r="B824" s="9" t="n"/>
      <c r="C824" s="9" t="n"/>
      <c r="D824" s="9" t="n"/>
      <c r="E824" s="9" t="n"/>
      <c r="F824" s="8">
        <f>IF(A824="","",IFERROR(INDEX(Testes!$N$2:$N$500,MATCH(A824,Testes!$A$2:$A$500,0)),""))</f>
        <v/>
      </c>
      <c r="G824" s="8">
        <f>IF(F824="ocorrência","VP",IF(F824="sem ocorrência","FP",""))</f>
        <v/>
      </c>
      <c r="H824" s="7" t="n"/>
      <c r="I824" s="8">
        <f>IF(H824&lt;&gt;"",H824,G824)</f>
        <v/>
      </c>
    </row>
    <row r="825">
      <c r="A825" s="9" t="n"/>
      <c r="B825" s="9" t="n"/>
      <c r="C825" s="9" t="n"/>
      <c r="D825" s="9" t="n"/>
      <c r="E825" s="9" t="n"/>
      <c r="F825" s="8">
        <f>IF(A825="","",IFERROR(INDEX(Testes!$N$2:$N$500,MATCH(A825,Testes!$A$2:$A$500,0)),""))</f>
        <v/>
      </c>
      <c r="G825" s="8">
        <f>IF(F825="ocorrência","VP",IF(F825="sem ocorrência","FP",""))</f>
        <v/>
      </c>
      <c r="H825" s="7" t="n"/>
      <c r="I825" s="8">
        <f>IF(H825&lt;&gt;"",H825,G825)</f>
        <v/>
      </c>
    </row>
    <row r="826">
      <c r="A826" s="9" t="n"/>
      <c r="B826" s="9" t="n"/>
      <c r="C826" s="9" t="n"/>
      <c r="D826" s="9" t="n"/>
      <c r="E826" s="9" t="n"/>
      <c r="F826" s="8">
        <f>IF(A826="","",IFERROR(INDEX(Testes!$N$2:$N$500,MATCH(A826,Testes!$A$2:$A$500,0)),""))</f>
        <v/>
      </c>
      <c r="G826" s="8">
        <f>IF(F826="ocorrência","VP",IF(F826="sem ocorrência","FP",""))</f>
        <v/>
      </c>
      <c r="H826" s="7" t="n"/>
      <c r="I826" s="8">
        <f>IF(H826&lt;&gt;"",H826,G826)</f>
        <v/>
      </c>
    </row>
    <row r="827">
      <c r="A827" s="9" t="n"/>
      <c r="B827" s="9" t="n"/>
      <c r="C827" s="9" t="n"/>
      <c r="D827" s="9" t="n"/>
      <c r="E827" s="9" t="n"/>
      <c r="F827" s="8">
        <f>IF(A827="","",IFERROR(INDEX(Testes!$N$2:$N$500,MATCH(A827,Testes!$A$2:$A$500,0)),""))</f>
        <v/>
      </c>
      <c r="G827" s="8">
        <f>IF(F827="ocorrência","VP",IF(F827="sem ocorrência","FP",""))</f>
        <v/>
      </c>
      <c r="H827" s="7" t="n"/>
      <c r="I827" s="8">
        <f>IF(H827&lt;&gt;"",H827,G827)</f>
        <v/>
      </c>
    </row>
    <row r="828">
      <c r="A828" s="9" t="n"/>
      <c r="B828" s="9" t="n"/>
      <c r="C828" s="9" t="n"/>
      <c r="D828" s="9" t="n"/>
      <c r="E828" s="9" t="n"/>
      <c r="F828" s="8">
        <f>IF(A828="","",IFERROR(INDEX(Testes!$N$2:$N$500,MATCH(A828,Testes!$A$2:$A$500,0)),""))</f>
        <v/>
      </c>
      <c r="G828" s="8">
        <f>IF(F828="ocorrência","VP",IF(F828="sem ocorrência","FP",""))</f>
        <v/>
      </c>
      <c r="H828" s="7" t="n"/>
      <c r="I828" s="8">
        <f>IF(H828&lt;&gt;"",H828,G828)</f>
        <v/>
      </c>
    </row>
    <row r="829">
      <c r="A829" s="9" t="n"/>
      <c r="B829" s="9" t="n"/>
      <c r="C829" s="9" t="n"/>
      <c r="D829" s="9" t="n"/>
      <c r="E829" s="9" t="n"/>
      <c r="F829" s="8">
        <f>IF(A829="","",IFERROR(INDEX(Testes!$N$2:$N$500,MATCH(A829,Testes!$A$2:$A$500,0)),""))</f>
        <v/>
      </c>
      <c r="G829" s="8">
        <f>IF(F829="ocorrência","VP",IF(F829="sem ocorrência","FP",""))</f>
        <v/>
      </c>
      <c r="H829" s="7" t="n"/>
      <c r="I829" s="8">
        <f>IF(H829&lt;&gt;"",H829,G829)</f>
        <v/>
      </c>
    </row>
    <row r="830">
      <c r="A830" s="9" t="n"/>
      <c r="B830" s="9" t="n"/>
      <c r="C830" s="9" t="n"/>
      <c r="D830" s="9" t="n"/>
      <c r="E830" s="9" t="n"/>
      <c r="F830" s="8">
        <f>IF(A830="","",IFERROR(INDEX(Testes!$N$2:$N$500,MATCH(A830,Testes!$A$2:$A$500,0)),""))</f>
        <v/>
      </c>
      <c r="G830" s="8">
        <f>IF(F830="ocorrência","VP",IF(F830="sem ocorrência","FP",""))</f>
        <v/>
      </c>
      <c r="H830" s="7" t="n"/>
      <c r="I830" s="8">
        <f>IF(H830&lt;&gt;"",H830,G830)</f>
        <v/>
      </c>
    </row>
    <row r="831">
      <c r="A831" s="9" t="n"/>
      <c r="B831" s="9" t="n"/>
      <c r="C831" s="9" t="n"/>
      <c r="D831" s="9" t="n"/>
      <c r="E831" s="9" t="n"/>
      <c r="F831" s="8">
        <f>IF(A831="","",IFERROR(INDEX(Testes!$N$2:$N$500,MATCH(A831,Testes!$A$2:$A$500,0)),""))</f>
        <v/>
      </c>
      <c r="G831" s="8">
        <f>IF(F831="ocorrência","VP",IF(F831="sem ocorrência","FP",""))</f>
        <v/>
      </c>
      <c r="H831" s="7" t="n"/>
      <c r="I831" s="8">
        <f>IF(H831&lt;&gt;"",H831,G831)</f>
        <v/>
      </c>
    </row>
    <row r="832">
      <c r="A832" s="9" t="n"/>
      <c r="B832" s="9" t="n"/>
      <c r="C832" s="9" t="n"/>
      <c r="D832" s="9" t="n"/>
      <c r="E832" s="9" t="n"/>
      <c r="F832" s="8">
        <f>IF(A832="","",IFERROR(INDEX(Testes!$N$2:$N$500,MATCH(A832,Testes!$A$2:$A$500,0)),""))</f>
        <v/>
      </c>
      <c r="G832" s="8">
        <f>IF(F832="ocorrência","VP",IF(F832="sem ocorrência","FP",""))</f>
        <v/>
      </c>
      <c r="H832" s="7" t="n"/>
      <c r="I832" s="8">
        <f>IF(H832&lt;&gt;"",H832,G832)</f>
        <v/>
      </c>
    </row>
    <row r="833">
      <c r="A833" s="9" t="n"/>
      <c r="B833" s="9" t="n"/>
      <c r="C833" s="9" t="n"/>
      <c r="D833" s="9" t="n"/>
      <c r="E833" s="9" t="n"/>
      <c r="F833" s="8">
        <f>IF(A833="","",IFERROR(INDEX(Testes!$N$2:$N$500,MATCH(A833,Testes!$A$2:$A$500,0)),""))</f>
        <v/>
      </c>
      <c r="G833" s="8">
        <f>IF(F833="ocorrência","VP",IF(F833="sem ocorrência","FP",""))</f>
        <v/>
      </c>
      <c r="H833" s="7" t="n"/>
      <c r="I833" s="8">
        <f>IF(H833&lt;&gt;"",H833,G833)</f>
        <v/>
      </c>
    </row>
    <row r="834">
      <c r="A834" s="9" t="n"/>
      <c r="B834" s="9" t="n"/>
      <c r="C834" s="9" t="n"/>
      <c r="D834" s="9" t="n"/>
      <c r="E834" s="9" t="n"/>
      <c r="F834" s="8">
        <f>IF(A834="","",IFERROR(INDEX(Testes!$N$2:$N$500,MATCH(A834,Testes!$A$2:$A$500,0)),""))</f>
        <v/>
      </c>
      <c r="G834" s="8">
        <f>IF(F834="ocorrência","VP",IF(F834="sem ocorrência","FP",""))</f>
        <v/>
      </c>
      <c r="H834" s="7" t="n"/>
      <c r="I834" s="8">
        <f>IF(H834&lt;&gt;"",H834,G834)</f>
        <v/>
      </c>
    </row>
    <row r="835">
      <c r="A835" s="9" t="n"/>
      <c r="B835" s="9" t="n"/>
      <c r="C835" s="9" t="n"/>
      <c r="D835" s="9" t="n"/>
      <c r="E835" s="9" t="n"/>
      <c r="F835" s="8">
        <f>IF(A835="","",IFERROR(INDEX(Testes!$N$2:$N$500,MATCH(A835,Testes!$A$2:$A$500,0)),""))</f>
        <v/>
      </c>
      <c r="G835" s="8">
        <f>IF(F835="ocorrência","VP",IF(F835="sem ocorrência","FP",""))</f>
        <v/>
      </c>
      <c r="H835" s="7" t="n"/>
      <c r="I835" s="8">
        <f>IF(H835&lt;&gt;"",H835,G835)</f>
        <v/>
      </c>
    </row>
    <row r="836">
      <c r="A836" s="9" t="n"/>
      <c r="B836" s="9" t="n"/>
      <c r="C836" s="9" t="n"/>
      <c r="D836" s="9" t="n"/>
      <c r="E836" s="9" t="n"/>
      <c r="F836" s="8">
        <f>IF(A836="","",IFERROR(INDEX(Testes!$N$2:$N$500,MATCH(A836,Testes!$A$2:$A$500,0)),""))</f>
        <v/>
      </c>
      <c r="G836" s="8">
        <f>IF(F836="ocorrência","VP",IF(F836="sem ocorrência","FP",""))</f>
        <v/>
      </c>
      <c r="H836" s="7" t="n"/>
      <c r="I836" s="8">
        <f>IF(H836&lt;&gt;"",H836,G836)</f>
        <v/>
      </c>
    </row>
    <row r="837">
      <c r="A837" s="9" t="n"/>
      <c r="B837" s="9" t="n"/>
      <c r="C837" s="9" t="n"/>
      <c r="D837" s="9" t="n"/>
      <c r="E837" s="9" t="n"/>
      <c r="F837" s="8">
        <f>IF(A837="","",IFERROR(INDEX(Testes!$N$2:$N$500,MATCH(A837,Testes!$A$2:$A$500,0)),""))</f>
        <v/>
      </c>
      <c r="G837" s="8">
        <f>IF(F837="ocorrência","VP",IF(F837="sem ocorrência","FP",""))</f>
        <v/>
      </c>
      <c r="H837" s="7" t="n"/>
      <c r="I837" s="8">
        <f>IF(H837&lt;&gt;"",H837,G837)</f>
        <v/>
      </c>
    </row>
    <row r="838">
      <c r="A838" s="9" t="n"/>
      <c r="B838" s="9" t="n"/>
      <c r="C838" s="9" t="n"/>
      <c r="D838" s="9" t="n"/>
      <c r="E838" s="9" t="n"/>
      <c r="F838" s="8">
        <f>IF(A838="","",IFERROR(INDEX(Testes!$N$2:$N$500,MATCH(A838,Testes!$A$2:$A$500,0)),""))</f>
        <v/>
      </c>
      <c r="G838" s="8">
        <f>IF(F838="ocorrência","VP",IF(F838="sem ocorrência","FP",""))</f>
        <v/>
      </c>
      <c r="H838" s="7" t="n"/>
      <c r="I838" s="8">
        <f>IF(H838&lt;&gt;"",H838,G838)</f>
        <v/>
      </c>
    </row>
    <row r="839">
      <c r="A839" s="9" t="n"/>
      <c r="B839" s="9" t="n"/>
      <c r="C839" s="9" t="n"/>
      <c r="D839" s="9" t="n"/>
      <c r="E839" s="9" t="n"/>
      <c r="F839" s="8">
        <f>IF(A839="","",IFERROR(INDEX(Testes!$N$2:$N$500,MATCH(A839,Testes!$A$2:$A$500,0)),""))</f>
        <v/>
      </c>
      <c r="G839" s="8">
        <f>IF(F839="ocorrência","VP",IF(F839="sem ocorrência","FP",""))</f>
        <v/>
      </c>
      <c r="H839" s="7" t="n"/>
      <c r="I839" s="8">
        <f>IF(H839&lt;&gt;"",H839,G839)</f>
        <v/>
      </c>
    </row>
    <row r="840">
      <c r="A840" s="9" t="n"/>
      <c r="B840" s="9" t="n"/>
      <c r="C840" s="9" t="n"/>
      <c r="D840" s="9" t="n"/>
      <c r="E840" s="9" t="n"/>
      <c r="F840" s="8">
        <f>IF(A840="","",IFERROR(INDEX(Testes!$N$2:$N$500,MATCH(A840,Testes!$A$2:$A$500,0)),""))</f>
        <v/>
      </c>
      <c r="G840" s="8">
        <f>IF(F840="ocorrência","VP",IF(F840="sem ocorrência","FP",""))</f>
        <v/>
      </c>
      <c r="H840" s="7" t="n"/>
      <c r="I840" s="8">
        <f>IF(H840&lt;&gt;"",H840,G840)</f>
        <v/>
      </c>
    </row>
    <row r="841">
      <c r="A841" s="9" t="n"/>
      <c r="B841" s="9" t="n"/>
      <c r="C841" s="9" t="n"/>
      <c r="D841" s="9" t="n"/>
      <c r="E841" s="9" t="n"/>
      <c r="F841" s="8">
        <f>IF(A841="","",IFERROR(INDEX(Testes!$N$2:$N$500,MATCH(A841,Testes!$A$2:$A$500,0)),""))</f>
        <v/>
      </c>
      <c r="G841" s="8">
        <f>IF(F841="ocorrência","VP",IF(F841="sem ocorrência","FP",""))</f>
        <v/>
      </c>
      <c r="H841" s="7" t="n"/>
      <c r="I841" s="8">
        <f>IF(H841&lt;&gt;"",H841,G841)</f>
        <v/>
      </c>
    </row>
    <row r="842">
      <c r="A842" s="9" t="n"/>
      <c r="B842" s="9" t="n"/>
      <c r="C842" s="9" t="n"/>
      <c r="D842" s="9" t="n"/>
      <c r="E842" s="9" t="n"/>
      <c r="F842" s="8">
        <f>IF(A842="","",IFERROR(INDEX(Testes!$N$2:$N$500,MATCH(A842,Testes!$A$2:$A$500,0)),""))</f>
        <v/>
      </c>
      <c r="G842" s="8">
        <f>IF(F842="ocorrência","VP",IF(F842="sem ocorrência","FP",""))</f>
        <v/>
      </c>
      <c r="H842" s="7" t="n"/>
      <c r="I842" s="8">
        <f>IF(H842&lt;&gt;"",H842,G842)</f>
        <v/>
      </c>
    </row>
    <row r="843">
      <c r="A843" s="9" t="n"/>
      <c r="B843" s="9" t="n"/>
      <c r="C843" s="9" t="n"/>
      <c r="D843" s="9" t="n"/>
      <c r="E843" s="9" t="n"/>
      <c r="F843" s="8">
        <f>IF(A843="","",IFERROR(INDEX(Testes!$N$2:$N$500,MATCH(A843,Testes!$A$2:$A$500,0)),""))</f>
        <v/>
      </c>
      <c r="G843" s="8">
        <f>IF(F843="ocorrência","VP",IF(F843="sem ocorrência","FP",""))</f>
        <v/>
      </c>
      <c r="H843" s="7" t="n"/>
      <c r="I843" s="8">
        <f>IF(H843&lt;&gt;"",H843,G843)</f>
        <v/>
      </c>
    </row>
    <row r="844">
      <c r="A844" s="9" t="n"/>
      <c r="B844" s="9" t="n"/>
      <c r="C844" s="9" t="n"/>
      <c r="D844" s="9" t="n"/>
      <c r="E844" s="9" t="n"/>
      <c r="F844" s="8">
        <f>IF(A844="","",IFERROR(INDEX(Testes!$N$2:$N$500,MATCH(A844,Testes!$A$2:$A$500,0)),""))</f>
        <v/>
      </c>
      <c r="G844" s="8">
        <f>IF(F844="ocorrência","VP",IF(F844="sem ocorrência","FP",""))</f>
        <v/>
      </c>
      <c r="H844" s="7" t="n"/>
      <c r="I844" s="8">
        <f>IF(H844&lt;&gt;"",H844,G844)</f>
        <v/>
      </c>
    </row>
    <row r="845">
      <c r="A845" s="9" t="n"/>
      <c r="B845" s="9" t="n"/>
      <c r="C845" s="9" t="n"/>
      <c r="D845" s="9" t="n"/>
      <c r="E845" s="9" t="n"/>
      <c r="F845" s="8">
        <f>IF(A845="","",IFERROR(INDEX(Testes!$N$2:$N$500,MATCH(A845,Testes!$A$2:$A$500,0)),""))</f>
        <v/>
      </c>
      <c r="G845" s="8">
        <f>IF(F845="ocorrência","VP",IF(F845="sem ocorrência","FP",""))</f>
        <v/>
      </c>
      <c r="H845" s="7" t="n"/>
      <c r="I845" s="8">
        <f>IF(H845&lt;&gt;"",H845,G845)</f>
        <v/>
      </c>
    </row>
    <row r="846">
      <c r="A846" s="9" t="n"/>
      <c r="B846" s="9" t="n"/>
      <c r="C846" s="9" t="n"/>
      <c r="D846" s="9" t="n"/>
      <c r="E846" s="9" t="n"/>
      <c r="F846" s="8">
        <f>IF(A846="","",IFERROR(INDEX(Testes!$N$2:$N$500,MATCH(A846,Testes!$A$2:$A$500,0)),""))</f>
        <v/>
      </c>
      <c r="G846" s="8">
        <f>IF(F846="ocorrência","VP",IF(F846="sem ocorrência","FP",""))</f>
        <v/>
      </c>
      <c r="H846" s="7" t="n"/>
      <c r="I846" s="8">
        <f>IF(H846&lt;&gt;"",H846,G846)</f>
        <v/>
      </c>
    </row>
    <row r="847">
      <c r="A847" s="9" t="n"/>
      <c r="B847" s="9" t="n"/>
      <c r="C847" s="9" t="n"/>
      <c r="D847" s="9" t="n"/>
      <c r="E847" s="9" t="n"/>
      <c r="F847" s="8">
        <f>IF(A847="","",IFERROR(INDEX(Testes!$N$2:$N$500,MATCH(A847,Testes!$A$2:$A$500,0)),""))</f>
        <v/>
      </c>
      <c r="G847" s="8">
        <f>IF(F847="ocorrência","VP",IF(F847="sem ocorrência","FP",""))</f>
        <v/>
      </c>
      <c r="H847" s="7" t="n"/>
      <c r="I847" s="8">
        <f>IF(H847&lt;&gt;"",H847,G847)</f>
        <v/>
      </c>
    </row>
    <row r="848">
      <c r="A848" s="9" t="n"/>
      <c r="B848" s="9" t="n"/>
      <c r="C848" s="9" t="n"/>
      <c r="D848" s="9" t="n"/>
      <c r="E848" s="9" t="n"/>
      <c r="F848" s="8">
        <f>IF(A848="","",IFERROR(INDEX(Testes!$N$2:$N$500,MATCH(A848,Testes!$A$2:$A$500,0)),""))</f>
        <v/>
      </c>
      <c r="G848" s="8">
        <f>IF(F848="ocorrência","VP",IF(F848="sem ocorrência","FP",""))</f>
        <v/>
      </c>
      <c r="H848" s="7" t="n"/>
      <c r="I848" s="8">
        <f>IF(H848&lt;&gt;"",H848,G848)</f>
        <v/>
      </c>
    </row>
    <row r="849">
      <c r="A849" s="9" t="n"/>
      <c r="B849" s="9" t="n"/>
      <c r="C849" s="9" t="n"/>
      <c r="D849" s="9" t="n"/>
      <c r="E849" s="9" t="n"/>
      <c r="F849" s="8">
        <f>IF(A849="","",IFERROR(INDEX(Testes!$N$2:$N$500,MATCH(A849,Testes!$A$2:$A$500,0)),""))</f>
        <v/>
      </c>
      <c r="G849" s="8">
        <f>IF(F849="ocorrência","VP",IF(F849="sem ocorrência","FP",""))</f>
        <v/>
      </c>
      <c r="H849" s="7" t="n"/>
      <c r="I849" s="8">
        <f>IF(H849&lt;&gt;"",H849,G849)</f>
        <v/>
      </c>
    </row>
    <row r="850">
      <c r="A850" s="9" t="n"/>
      <c r="B850" s="9" t="n"/>
      <c r="C850" s="9" t="n"/>
      <c r="D850" s="9" t="n"/>
      <c r="E850" s="9" t="n"/>
      <c r="F850" s="8">
        <f>IF(A850="","",IFERROR(INDEX(Testes!$N$2:$N$500,MATCH(A850,Testes!$A$2:$A$500,0)),""))</f>
        <v/>
      </c>
      <c r="G850" s="8">
        <f>IF(F850="ocorrência","VP",IF(F850="sem ocorrência","FP",""))</f>
        <v/>
      </c>
      <c r="H850" s="7" t="n"/>
      <c r="I850" s="8">
        <f>IF(H850&lt;&gt;"",H850,G850)</f>
        <v/>
      </c>
    </row>
    <row r="851">
      <c r="A851" s="9" t="n"/>
      <c r="B851" s="9" t="n"/>
      <c r="C851" s="9" t="n"/>
      <c r="D851" s="9" t="n"/>
      <c r="E851" s="9" t="n"/>
      <c r="F851" s="8">
        <f>IF(A851="","",IFERROR(INDEX(Testes!$N$2:$N$500,MATCH(A851,Testes!$A$2:$A$500,0)),""))</f>
        <v/>
      </c>
      <c r="G851" s="8">
        <f>IF(F851="ocorrência","VP",IF(F851="sem ocorrência","FP",""))</f>
        <v/>
      </c>
      <c r="H851" s="7" t="n"/>
      <c r="I851" s="8">
        <f>IF(H851&lt;&gt;"",H851,G851)</f>
        <v/>
      </c>
    </row>
    <row r="852">
      <c r="A852" s="9" t="n"/>
      <c r="B852" s="9" t="n"/>
      <c r="C852" s="9" t="n"/>
      <c r="D852" s="9" t="n"/>
      <c r="E852" s="9" t="n"/>
      <c r="F852" s="8">
        <f>IF(A852="","",IFERROR(INDEX(Testes!$N$2:$N$500,MATCH(A852,Testes!$A$2:$A$500,0)),""))</f>
        <v/>
      </c>
      <c r="G852" s="8">
        <f>IF(F852="ocorrência","VP",IF(F852="sem ocorrência","FP",""))</f>
        <v/>
      </c>
      <c r="H852" s="7" t="n"/>
      <c r="I852" s="8">
        <f>IF(H852&lt;&gt;"",H852,G852)</f>
        <v/>
      </c>
    </row>
    <row r="853">
      <c r="A853" s="9" t="n"/>
      <c r="B853" s="9" t="n"/>
      <c r="C853" s="9" t="n"/>
      <c r="D853" s="9" t="n"/>
      <c r="E853" s="9" t="n"/>
      <c r="F853" s="8">
        <f>IF(A853="","",IFERROR(INDEX(Testes!$N$2:$N$500,MATCH(A853,Testes!$A$2:$A$500,0)),""))</f>
        <v/>
      </c>
      <c r="G853" s="8">
        <f>IF(F853="ocorrência","VP",IF(F853="sem ocorrência","FP",""))</f>
        <v/>
      </c>
      <c r="H853" s="7" t="n"/>
      <c r="I853" s="8">
        <f>IF(H853&lt;&gt;"",H853,G853)</f>
        <v/>
      </c>
    </row>
    <row r="854">
      <c r="A854" s="9" t="n"/>
      <c r="B854" s="9" t="n"/>
      <c r="C854" s="9" t="n"/>
      <c r="D854" s="9" t="n"/>
      <c r="E854" s="9" t="n"/>
      <c r="F854" s="8">
        <f>IF(A854="","",IFERROR(INDEX(Testes!$N$2:$N$500,MATCH(A854,Testes!$A$2:$A$500,0)),""))</f>
        <v/>
      </c>
      <c r="G854" s="8">
        <f>IF(F854="ocorrência","VP",IF(F854="sem ocorrência","FP",""))</f>
        <v/>
      </c>
      <c r="H854" s="7" t="n"/>
      <c r="I854" s="8">
        <f>IF(H854&lt;&gt;"",H854,G854)</f>
        <v/>
      </c>
    </row>
    <row r="855">
      <c r="A855" s="9" t="n"/>
      <c r="B855" s="9" t="n"/>
      <c r="C855" s="9" t="n"/>
      <c r="D855" s="9" t="n"/>
      <c r="E855" s="9" t="n"/>
      <c r="F855" s="8">
        <f>IF(A855="","",IFERROR(INDEX(Testes!$N$2:$N$500,MATCH(A855,Testes!$A$2:$A$500,0)),""))</f>
        <v/>
      </c>
      <c r="G855" s="8">
        <f>IF(F855="ocorrência","VP",IF(F855="sem ocorrência","FP",""))</f>
        <v/>
      </c>
      <c r="H855" s="7" t="n"/>
      <c r="I855" s="8">
        <f>IF(H855&lt;&gt;"",H855,G855)</f>
        <v/>
      </c>
    </row>
    <row r="856">
      <c r="A856" s="9" t="n"/>
      <c r="B856" s="9" t="n"/>
      <c r="C856" s="9" t="n"/>
      <c r="D856" s="9" t="n"/>
      <c r="E856" s="9" t="n"/>
      <c r="F856" s="8">
        <f>IF(A856="","",IFERROR(INDEX(Testes!$N$2:$N$500,MATCH(A856,Testes!$A$2:$A$500,0)),""))</f>
        <v/>
      </c>
      <c r="G856" s="8">
        <f>IF(F856="ocorrência","VP",IF(F856="sem ocorrência","FP",""))</f>
        <v/>
      </c>
      <c r="H856" s="7" t="n"/>
      <c r="I856" s="8">
        <f>IF(H856&lt;&gt;"",H856,G856)</f>
        <v/>
      </c>
    </row>
    <row r="857">
      <c r="A857" s="9" t="n"/>
      <c r="B857" s="9" t="n"/>
      <c r="C857" s="9" t="n"/>
      <c r="D857" s="9" t="n"/>
      <c r="E857" s="9" t="n"/>
      <c r="F857" s="8">
        <f>IF(A857="","",IFERROR(INDEX(Testes!$N$2:$N$500,MATCH(A857,Testes!$A$2:$A$500,0)),""))</f>
        <v/>
      </c>
      <c r="G857" s="8">
        <f>IF(F857="ocorrência","VP",IF(F857="sem ocorrência","FP",""))</f>
        <v/>
      </c>
      <c r="H857" s="7" t="n"/>
      <c r="I857" s="8">
        <f>IF(H857&lt;&gt;"",H857,G857)</f>
        <v/>
      </c>
    </row>
    <row r="858">
      <c r="A858" s="9" t="n"/>
      <c r="B858" s="9" t="n"/>
      <c r="C858" s="9" t="n"/>
      <c r="D858" s="9" t="n"/>
      <c r="E858" s="9" t="n"/>
      <c r="F858" s="8">
        <f>IF(A858="","",IFERROR(INDEX(Testes!$N$2:$N$500,MATCH(A858,Testes!$A$2:$A$500,0)),""))</f>
        <v/>
      </c>
      <c r="G858" s="8">
        <f>IF(F858="ocorrência","VP",IF(F858="sem ocorrência","FP",""))</f>
        <v/>
      </c>
      <c r="H858" s="7" t="n"/>
      <c r="I858" s="8">
        <f>IF(H858&lt;&gt;"",H858,G858)</f>
        <v/>
      </c>
    </row>
    <row r="859">
      <c r="A859" s="9" t="n"/>
      <c r="B859" s="9" t="n"/>
      <c r="C859" s="9" t="n"/>
      <c r="D859" s="9" t="n"/>
      <c r="E859" s="9" t="n"/>
      <c r="F859" s="8">
        <f>IF(A859="","",IFERROR(INDEX(Testes!$N$2:$N$500,MATCH(A859,Testes!$A$2:$A$500,0)),""))</f>
        <v/>
      </c>
      <c r="G859" s="8">
        <f>IF(F859="ocorrência","VP",IF(F859="sem ocorrência","FP",""))</f>
        <v/>
      </c>
      <c r="H859" s="7" t="n"/>
      <c r="I859" s="8">
        <f>IF(H859&lt;&gt;"",H859,G859)</f>
        <v/>
      </c>
    </row>
    <row r="860">
      <c r="A860" s="9" t="n"/>
      <c r="B860" s="9" t="n"/>
      <c r="C860" s="9" t="n"/>
      <c r="D860" s="9" t="n"/>
      <c r="E860" s="9" t="n"/>
      <c r="F860" s="8">
        <f>IF(A860="","",IFERROR(INDEX(Testes!$N$2:$N$500,MATCH(A860,Testes!$A$2:$A$500,0)),""))</f>
        <v/>
      </c>
      <c r="G860" s="8">
        <f>IF(F860="ocorrência","VP",IF(F860="sem ocorrência","FP",""))</f>
        <v/>
      </c>
      <c r="H860" s="7" t="n"/>
      <c r="I860" s="8">
        <f>IF(H860&lt;&gt;"",H860,G860)</f>
        <v/>
      </c>
    </row>
    <row r="861">
      <c r="A861" s="9" t="n"/>
      <c r="B861" s="9" t="n"/>
      <c r="C861" s="9" t="n"/>
      <c r="D861" s="9" t="n"/>
      <c r="E861" s="9" t="n"/>
      <c r="F861" s="8">
        <f>IF(A861="","",IFERROR(INDEX(Testes!$N$2:$N$500,MATCH(A861,Testes!$A$2:$A$500,0)),""))</f>
        <v/>
      </c>
      <c r="G861" s="8">
        <f>IF(F861="ocorrência","VP",IF(F861="sem ocorrência","FP",""))</f>
        <v/>
      </c>
      <c r="H861" s="7" t="n"/>
      <c r="I861" s="8">
        <f>IF(H861&lt;&gt;"",H861,G861)</f>
        <v/>
      </c>
    </row>
    <row r="862">
      <c r="A862" s="9" t="n"/>
      <c r="B862" s="9" t="n"/>
      <c r="C862" s="9" t="n"/>
      <c r="D862" s="9" t="n"/>
      <c r="E862" s="9" t="n"/>
      <c r="F862" s="8">
        <f>IF(A862="","",IFERROR(INDEX(Testes!$N$2:$N$500,MATCH(A862,Testes!$A$2:$A$500,0)),""))</f>
        <v/>
      </c>
      <c r="G862" s="8">
        <f>IF(F862="ocorrência","VP",IF(F862="sem ocorrência","FP",""))</f>
        <v/>
      </c>
      <c r="H862" s="7" t="n"/>
      <c r="I862" s="8">
        <f>IF(H862&lt;&gt;"",H862,G862)</f>
        <v/>
      </c>
    </row>
    <row r="863">
      <c r="A863" s="9" t="n"/>
      <c r="B863" s="9" t="n"/>
      <c r="C863" s="9" t="n"/>
      <c r="D863" s="9" t="n"/>
      <c r="E863" s="9" t="n"/>
      <c r="F863" s="8">
        <f>IF(A863="","",IFERROR(INDEX(Testes!$N$2:$N$500,MATCH(A863,Testes!$A$2:$A$500,0)),""))</f>
        <v/>
      </c>
      <c r="G863" s="8">
        <f>IF(F863="ocorrência","VP",IF(F863="sem ocorrência","FP",""))</f>
        <v/>
      </c>
      <c r="H863" s="7" t="n"/>
      <c r="I863" s="8">
        <f>IF(H863&lt;&gt;"",H863,G863)</f>
        <v/>
      </c>
    </row>
    <row r="864">
      <c r="A864" s="9" t="n"/>
      <c r="B864" s="9" t="n"/>
      <c r="C864" s="9" t="n"/>
      <c r="D864" s="9" t="n"/>
      <c r="E864" s="9" t="n"/>
      <c r="F864" s="8">
        <f>IF(A864="","",IFERROR(INDEX(Testes!$N$2:$N$500,MATCH(A864,Testes!$A$2:$A$500,0)),""))</f>
        <v/>
      </c>
      <c r="G864" s="8">
        <f>IF(F864="ocorrência","VP",IF(F864="sem ocorrência","FP",""))</f>
        <v/>
      </c>
      <c r="H864" s="7" t="n"/>
      <c r="I864" s="8">
        <f>IF(H864&lt;&gt;"",H864,G864)</f>
        <v/>
      </c>
    </row>
    <row r="865">
      <c r="A865" s="9" t="n"/>
      <c r="B865" s="9" t="n"/>
      <c r="C865" s="9" t="n"/>
      <c r="D865" s="9" t="n"/>
      <c r="E865" s="9" t="n"/>
      <c r="F865" s="8">
        <f>IF(A865="","",IFERROR(INDEX(Testes!$N$2:$N$500,MATCH(A865,Testes!$A$2:$A$500,0)),""))</f>
        <v/>
      </c>
      <c r="G865" s="8">
        <f>IF(F865="ocorrência","VP",IF(F865="sem ocorrência","FP",""))</f>
        <v/>
      </c>
      <c r="H865" s="7" t="n"/>
      <c r="I865" s="8">
        <f>IF(H865&lt;&gt;"",H865,G865)</f>
        <v/>
      </c>
    </row>
    <row r="866">
      <c r="A866" s="9" t="n"/>
      <c r="B866" s="9" t="n"/>
      <c r="C866" s="9" t="n"/>
      <c r="D866" s="9" t="n"/>
      <c r="E866" s="9" t="n"/>
      <c r="F866" s="8">
        <f>IF(A866="","",IFERROR(INDEX(Testes!$N$2:$N$500,MATCH(A866,Testes!$A$2:$A$500,0)),""))</f>
        <v/>
      </c>
      <c r="G866" s="8">
        <f>IF(F866="ocorrência","VP",IF(F866="sem ocorrência","FP",""))</f>
        <v/>
      </c>
      <c r="H866" s="7" t="n"/>
      <c r="I866" s="8">
        <f>IF(H866&lt;&gt;"",H866,G866)</f>
        <v/>
      </c>
    </row>
    <row r="867">
      <c r="A867" s="9" t="n"/>
      <c r="B867" s="9" t="n"/>
      <c r="C867" s="9" t="n"/>
      <c r="D867" s="9" t="n"/>
      <c r="E867" s="9" t="n"/>
      <c r="F867" s="8">
        <f>IF(A867="","",IFERROR(INDEX(Testes!$N$2:$N$500,MATCH(A867,Testes!$A$2:$A$500,0)),""))</f>
        <v/>
      </c>
      <c r="G867" s="8">
        <f>IF(F867="ocorrência","VP",IF(F867="sem ocorrência","FP",""))</f>
        <v/>
      </c>
      <c r="H867" s="7" t="n"/>
      <c r="I867" s="8">
        <f>IF(H867&lt;&gt;"",H867,G867)</f>
        <v/>
      </c>
    </row>
    <row r="868">
      <c r="A868" s="9" t="n"/>
      <c r="B868" s="9" t="n"/>
      <c r="C868" s="9" t="n"/>
      <c r="D868" s="9" t="n"/>
      <c r="E868" s="9" t="n"/>
      <c r="F868" s="8">
        <f>IF(A868="","",IFERROR(INDEX(Testes!$N$2:$N$500,MATCH(A868,Testes!$A$2:$A$500,0)),""))</f>
        <v/>
      </c>
      <c r="G868" s="8">
        <f>IF(F868="ocorrência","VP",IF(F868="sem ocorrência","FP",""))</f>
        <v/>
      </c>
      <c r="H868" s="7" t="n"/>
      <c r="I868" s="8">
        <f>IF(H868&lt;&gt;"",H868,G868)</f>
        <v/>
      </c>
    </row>
    <row r="869">
      <c r="A869" s="9" t="n"/>
      <c r="B869" s="9" t="n"/>
      <c r="C869" s="9" t="n"/>
      <c r="D869" s="9" t="n"/>
      <c r="E869" s="9" t="n"/>
      <c r="F869" s="8">
        <f>IF(A869="","",IFERROR(INDEX(Testes!$N$2:$N$500,MATCH(A869,Testes!$A$2:$A$500,0)),""))</f>
        <v/>
      </c>
      <c r="G869" s="8">
        <f>IF(F869="ocorrência","VP",IF(F869="sem ocorrência","FP",""))</f>
        <v/>
      </c>
      <c r="H869" s="7" t="n"/>
      <c r="I869" s="8">
        <f>IF(H869&lt;&gt;"",H869,G869)</f>
        <v/>
      </c>
    </row>
    <row r="870">
      <c r="A870" s="9" t="n"/>
      <c r="B870" s="9" t="n"/>
      <c r="C870" s="9" t="n"/>
      <c r="D870" s="9" t="n"/>
      <c r="E870" s="9" t="n"/>
      <c r="F870" s="8">
        <f>IF(A870="","",IFERROR(INDEX(Testes!$N$2:$N$500,MATCH(A870,Testes!$A$2:$A$500,0)),""))</f>
        <v/>
      </c>
      <c r="G870" s="8">
        <f>IF(F870="ocorrência","VP",IF(F870="sem ocorrência","FP",""))</f>
        <v/>
      </c>
      <c r="H870" s="7" t="n"/>
      <c r="I870" s="8">
        <f>IF(H870&lt;&gt;"",H870,G870)</f>
        <v/>
      </c>
    </row>
    <row r="871">
      <c r="A871" s="9" t="n"/>
      <c r="B871" s="9" t="n"/>
      <c r="C871" s="9" t="n"/>
      <c r="D871" s="9" t="n"/>
      <c r="E871" s="9" t="n"/>
      <c r="F871" s="8">
        <f>IF(A871="","",IFERROR(INDEX(Testes!$N$2:$N$500,MATCH(A871,Testes!$A$2:$A$500,0)),""))</f>
        <v/>
      </c>
      <c r="G871" s="8">
        <f>IF(F871="ocorrência","VP",IF(F871="sem ocorrência","FP",""))</f>
        <v/>
      </c>
      <c r="H871" s="7" t="n"/>
      <c r="I871" s="8">
        <f>IF(H871&lt;&gt;"",H871,G871)</f>
        <v/>
      </c>
    </row>
    <row r="872">
      <c r="A872" s="9" t="n"/>
      <c r="B872" s="9" t="n"/>
      <c r="C872" s="9" t="n"/>
      <c r="D872" s="9" t="n"/>
      <c r="E872" s="9" t="n"/>
      <c r="F872" s="8">
        <f>IF(A872="","",IFERROR(INDEX(Testes!$N$2:$N$500,MATCH(A872,Testes!$A$2:$A$500,0)),""))</f>
        <v/>
      </c>
      <c r="G872" s="8">
        <f>IF(F872="ocorrência","VP",IF(F872="sem ocorrência","FP",""))</f>
        <v/>
      </c>
      <c r="H872" s="7" t="n"/>
      <c r="I872" s="8">
        <f>IF(H872&lt;&gt;"",H872,G872)</f>
        <v/>
      </c>
    </row>
    <row r="873">
      <c r="A873" s="9" t="n"/>
      <c r="B873" s="9" t="n"/>
      <c r="C873" s="9" t="n"/>
      <c r="D873" s="9" t="n"/>
      <c r="E873" s="9" t="n"/>
      <c r="F873" s="8">
        <f>IF(A873="","",IFERROR(INDEX(Testes!$N$2:$N$500,MATCH(A873,Testes!$A$2:$A$500,0)),""))</f>
        <v/>
      </c>
      <c r="G873" s="8">
        <f>IF(F873="ocorrência","VP",IF(F873="sem ocorrência","FP",""))</f>
        <v/>
      </c>
      <c r="H873" s="7" t="n"/>
      <c r="I873" s="8">
        <f>IF(H873&lt;&gt;"",H873,G873)</f>
        <v/>
      </c>
    </row>
    <row r="874">
      <c r="A874" s="9" t="n"/>
      <c r="B874" s="9" t="n"/>
      <c r="C874" s="9" t="n"/>
      <c r="D874" s="9" t="n"/>
      <c r="E874" s="9" t="n"/>
      <c r="F874" s="8">
        <f>IF(A874="","",IFERROR(INDEX(Testes!$N$2:$N$500,MATCH(A874,Testes!$A$2:$A$500,0)),""))</f>
        <v/>
      </c>
      <c r="G874" s="8">
        <f>IF(F874="ocorrência","VP",IF(F874="sem ocorrência","FP",""))</f>
        <v/>
      </c>
      <c r="H874" s="7" t="n"/>
      <c r="I874" s="8">
        <f>IF(H874&lt;&gt;"",H874,G874)</f>
        <v/>
      </c>
    </row>
    <row r="875">
      <c r="A875" s="9" t="n"/>
      <c r="B875" s="9" t="n"/>
      <c r="C875" s="9" t="n"/>
      <c r="D875" s="9" t="n"/>
      <c r="E875" s="9" t="n"/>
      <c r="F875" s="8">
        <f>IF(A875="","",IFERROR(INDEX(Testes!$N$2:$N$500,MATCH(A875,Testes!$A$2:$A$500,0)),""))</f>
        <v/>
      </c>
      <c r="G875" s="8">
        <f>IF(F875="ocorrência","VP",IF(F875="sem ocorrência","FP",""))</f>
        <v/>
      </c>
      <c r="H875" s="7" t="n"/>
      <c r="I875" s="8">
        <f>IF(H875&lt;&gt;"",H875,G875)</f>
        <v/>
      </c>
    </row>
    <row r="876">
      <c r="A876" s="9" t="n"/>
      <c r="B876" s="9" t="n"/>
      <c r="C876" s="9" t="n"/>
      <c r="D876" s="9" t="n"/>
      <c r="E876" s="9" t="n"/>
      <c r="F876" s="8">
        <f>IF(A876="","",IFERROR(INDEX(Testes!$N$2:$N$500,MATCH(A876,Testes!$A$2:$A$500,0)),""))</f>
        <v/>
      </c>
      <c r="G876" s="8">
        <f>IF(F876="ocorrência","VP",IF(F876="sem ocorrência","FP",""))</f>
        <v/>
      </c>
      <c r="H876" s="7" t="n"/>
      <c r="I876" s="8">
        <f>IF(H876&lt;&gt;"",H876,G876)</f>
        <v/>
      </c>
    </row>
    <row r="877">
      <c r="A877" s="9" t="n"/>
      <c r="B877" s="9" t="n"/>
      <c r="C877" s="9" t="n"/>
      <c r="D877" s="9" t="n"/>
      <c r="E877" s="9" t="n"/>
      <c r="F877" s="8">
        <f>IF(A877="","",IFERROR(INDEX(Testes!$N$2:$N$500,MATCH(A877,Testes!$A$2:$A$500,0)),""))</f>
        <v/>
      </c>
      <c r="G877" s="8">
        <f>IF(F877="ocorrência","VP",IF(F877="sem ocorrência","FP",""))</f>
        <v/>
      </c>
      <c r="H877" s="7" t="n"/>
      <c r="I877" s="8">
        <f>IF(H877&lt;&gt;"",H877,G877)</f>
        <v/>
      </c>
    </row>
    <row r="878">
      <c r="A878" s="9" t="n"/>
      <c r="B878" s="9" t="n"/>
      <c r="C878" s="9" t="n"/>
      <c r="D878" s="9" t="n"/>
      <c r="E878" s="9" t="n"/>
      <c r="F878" s="8">
        <f>IF(A878="","",IFERROR(INDEX(Testes!$N$2:$N$500,MATCH(A878,Testes!$A$2:$A$500,0)),""))</f>
        <v/>
      </c>
      <c r="G878" s="8">
        <f>IF(F878="ocorrência","VP",IF(F878="sem ocorrência","FP",""))</f>
        <v/>
      </c>
      <c r="H878" s="7" t="n"/>
      <c r="I878" s="8">
        <f>IF(H878&lt;&gt;"",H878,G878)</f>
        <v/>
      </c>
    </row>
    <row r="879">
      <c r="A879" s="9" t="n"/>
      <c r="B879" s="9" t="n"/>
      <c r="C879" s="9" t="n"/>
      <c r="D879" s="9" t="n"/>
      <c r="E879" s="9" t="n"/>
      <c r="F879" s="8">
        <f>IF(A879="","",IFERROR(INDEX(Testes!$N$2:$N$500,MATCH(A879,Testes!$A$2:$A$500,0)),""))</f>
        <v/>
      </c>
      <c r="G879" s="8">
        <f>IF(F879="ocorrência","VP",IF(F879="sem ocorrência","FP",""))</f>
        <v/>
      </c>
      <c r="H879" s="7" t="n"/>
      <c r="I879" s="8">
        <f>IF(H879&lt;&gt;"",H879,G879)</f>
        <v/>
      </c>
    </row>
    <row r="880">
      <c r="A880" s="9" t="n"/>
      <c r="B880" s="9" t="n"/>
      <c r="C880" s="9" t="n"/>
      <c r="D880" s="9" t="n"/>
      <c r="E880" s="9" t="n"/>
      <c r="F880" s="8">
        <f>IF(A880="","",IFERROR(INDEX(Testes!$N$2:$N$500,MATCH(A880,Testes!$A$2:$A$500,0)),""))</f>
        <v/>
      </c>
      <c r="G880" s="8">
        <f>IF(F880="ocorrência","VP",IF(F880="sem ocorrência","FP",""))</f>
        <v/>
      </c>
      <c r="H880" s="7" t="n"/>
      <c r="I880" s="8">
        <f>IF(H880&lt;&gt;"",H880,G880)</f>
        <v/>
      </c>
    </row>
    <row r="881">
      <c r="A881" s="9" t="n"/>
      <c r="B881" s="9" t="n"/>
      <c r="C881" s="9" t="n"/>
      <c r="D881" s="9" t="n"/>
      <c r="E881" s="9" t="n"/>
      <c r="F881" s="8">
        <f>IF(A881="","",IFERROR(INDEX(Testes!$N$2:$N$500,MATCH(A881,Testes!$A$2:$A$500,0)),""))</f>
        <v/>
      </c>
      <c r="G881" s="8">
        <f>IF(F881="ocorrência","VP",IF(F881="sem ocorrência","FP",""))</f>
        <v/>
      </c>
      <c r="H881" s="7" t="n"/>
      <c r="I881" s="8">
        <f>IF(H881&lt;&gt;"",H881,G881)</f>
        <v/>
      </c>
    </row>
    <row r="882">
      <c r="A882" s="9" t="n"/>
      <c r="B882" s="9" t="n"/>
      <c r="C882" s="9" t="n"/>
      <c r="D882" s="9" t="n"/>
      <c r="E882" s="9" t="n"/>
      <c r="F882" s="8">
        <f>IF(A882="","",IFERROR(INDEX(Testes!$N$2:$N$500,MATCH(A882,Testes!$A$2:$A$500,0)),""))</f>
        <v/>
      </c>
      <c r="G882" s="8">
        <f>IF(F882="ocorrência","VP",IF(F882="sem ocorrência","FP",""))</f>
        <v/>
      </c>
      <c r="H882" s="7" t="n"/>
      <c r="I882" s="8">
        <f>IF(H882&lt;&gt;"",H882,G882)</f>
        <v/>
      </c>
    </row>
    <row r="883">
      <c r="A883" s="9" t="n"/>
      <c r="B883" s="9" t="n"/>
      <c r="C883" s="9" t="n"/>
      <c r="D883" s="9" t="n"/>
      <c r="E883" s="9" t="n"/>
      <c r="F883" s="8">
        <f>IF(A883="","",IFERROR(INDEX(Testes!$N$2:$N$500,MATCH(A883,Testes!$A$2:$A$500,0)),""))</f>
        <v/>
      </c>
      <c r="G883" s="8">
        <f>IF(F883="ocorrência","VP",IF(F883="sem ocorrência","FP",""))</f>
        <v/>
      </c>
      <c r="H883" s="7" t="n"/>
      <c r="I883" s="8">
        <f>IF(H883&lt;&gt;"",H883,G883)</f>
        <v/>
      </c>
    </row>
    <row r="884">
      <c r="A884" s="9" t="n"/>
      <c r="B884" s="9" t="n"/>
      <c r="C884" s="9" t="n"/>
      <c r="D884" s="9" t="n"/>
      <c r="E884" s="9" t="n"/>
      <c r="F884" s="8">
        <f>IF(A884="","",IFERROR(INDEX(Testes!$N$2:$N$500,MATCH(A884,Testes!$A$2:$A$500,0)),""))</f>
        <v/>
      </c>
      <c r="G884" s="8">
        <f>IF(F884="ocorrência","VP",IF(F884="sem ocorrência","FP",""))</f>
        <v/>
      </c>
      <c r="H884" s="7" t="n"/>
      <c r="I884" s="8">
        <f>IF(H884&lt;&gt;"",H884,G884)</f>
        <v/>
      </c>
    </row>
    <row r="885">
      <c r="A885" s="9" t="n"/>
      <c r="B885" s="9" t="n"/>
      <c r="C885" s="9" t="n"/>
      <c r="D885" s="9" t="n"/>
      <c r="E885" s="9" t="n"/>
      <c r="F885" s="8">
        <f>IF(A885="","",IFERROR(INDEX(Testes!$N$2:$N$500,MATCH(A885,Testes!$A$2:$A$500,0)),""))</f>
        <v/>
      </c>
      <c r="G885" s="8">
        <f>IF(F885="ocorrência","VP",IF(F885="sem ocorrência","FP",""))</f>
        <v/>
      </c>
      <c r="H885" s="7" t="n"/>
      <c r="I885" s="8">
        <f>IF(H885&lt;&gt;"",H885,G885)</f>
        <v/>
      </c>
    </row>
    <row r="886">
      <c r="A886" s="9" t="n"/>
      <c r="B886" s="9" t="n"/>
      <c r="C886" s="9" t="n"/>
      <c r="D886" s="9" t="n"/>
      <c r="E886" s="9" t="n"/>
      <c r="F886" s="8">
        <f>IF(A886="","",IFERROR(INDEX(Testes!$N$2:$N$500,MATCH(A886,Testes!$A$2:$A$500,0)),""))</f>
        <v/>
      </c>
      <c r="G886" s="8">
        <f>IF(F886="ocorrência","VP",IF(F886="sem ocorrência","FP",""))</f>
        <v/>
      </c>
      <c r="H886" s="7" t="n"/>
      <c r="I886" s="8">
        <f>IF(H886&lt;&gt;"",H886,G886)</f>
        <v/>
      </c>
    </row>
    <row r="887">
      <c r="A887" s="9" t="n"/>
      <c r="B887" s="9" t="n"/>
      <c r="C887" s="9" t="n"/>
      <c r="D887" s="9" t="n"/>
      <c r="E887" s="9" t="n"/>
      <c r="F887" s="8">
        <f>IF(A887="","",IFERROR(INDEX(Testes!$N$2:$N$500,MATCH(A887,Testes!$A$2:$A$500,0)),""))</f>
        <v/>
      </c>
      <c r="G887" s="8">
        <f>IF(F887="ocorrência","VP",IF(F887="sem ocorrência","FP",""))</f>
        <v/>
      </c>
      <c r="H887" s="7" t="n"/>
      <c r="I887" s="8">
        <f>IF(H887&lt;&gt;"",H887,G887)</f>
        <v/>
      </c>
    </row>
    <row r="888">
      <c r="A888" s="9" t="n"/>
      <c r="B888" s="9" t="n"/>
      <c r="C888" s="9" t="n"/>
      <c r="D888" s="9" t="n"/>
      <c r="E888" s="9" t="n"/>
      <c r="F888" s="8">
        <f>IF(A888="","",IFERROR(INDEX(Testes!$N$2:$N$500,MATCH(A888,Testes!$A$2:$A$500,0)),""))</f>
        <v/>
      </c>
      <c r="G888" s="8">
        <f>IF(F888="ocorrência","VP",IF(F888="sem ocorrência","FP",""))</f>
        <v/>
      </c>
      <c r="H888" s="7" t="n"/>
      <c r="I888" s="8">
        <f>IF(H888&lt;&gt;"",H888,G888)</f>
        <v/>
      </c>
    </row>
    <row r="889">
      <c r="A889" s="9" t="n"/>
      <c r="B889" s="9" t="n"/>
      <c r="C889" s="9" t="n"/>
      <c r="D889" s="9" t="n"/>
      <c r="E889" s="9" t="n"/>
      <c r="F889" s="8">
        <f>IF(A889="","",IFERROR(INDEX(Testes!$N$2:$N$500,MATCH(A889,Testes!$A$2:$A$500,0)),""))</f>
        <v/>
      </c>
      <c r="G889" s="8">
        <f>IF(F889="ocorrência","VP",IF(F889="sem ocorrência","FP",""))</f>
        <v/>
      </c>
      <c r="H889" s="7" t="n"/>
      <c r="I889" s="8">
        <f>IF(H889&lt;&gt;"",H889,G889)</f>
        <v/>
      </c>
    </row>
    <row r="890">
      <c r="A890" s="9" t="n"/>
      <c r="B890" s="9" t="n"/>
      <c r="C890" s="9" t="n"/>
      <c r="D890" s="9" t="n"/>
      <c r="E890" s="9" t="n"/>
      <c r="F890" s="8">
        <f>IF(A890="","",IFERROR(INDEX(Testes!$N$2:$N$500,MATCH(A890,Testes!$A$2:$A$500,0)),""))</f>
        <v/>
      </c>
      <c r="G890" s="8">
        <f>IF(F890="ocorrência","VP",IF(F890="sem ocorrência","FP",""))</f>
        <v/>
      </c>
      <c r="H890" s="7" t="n"/>
      <c r="I890" s="8">
        <f>IF(H890&lt;&gt;"",H890,G890)</f>
        <v/>
      </c>
    </row>
    <row r="891">
      <c r="A891" s="9" t="n"/>
      <c r="B891" s="9" t="n"/>
      <c r="C891" s="9" t="n"/>
      <c r="D891" s="9" t="n"/>
      <c r="E891" s="9" t="n"/>
      <c r="F891" s="8">
        <f>IF(A891="","",IFERROR(INDEX(Testes!$N$2:$N$500,MATCH(A891,Testes!$A$2:$A$500,0)),""))</f>
        <v/>
      </c>
      <c r="G891" s="8">
        <f>IF(F891="ocorrência","VP",IF(F891="sem ocorrência","FP",""))</f>
        <v/>
      </c>
      <c r="H891" s="7" t="n"/>
      <c r="I891" s="8">
        <f>IF(H891&lt;&gt;"",H891,G891)</f>
        <v/>
      </c>
    </row>
    <row r="892">
      <c r="A892" s="9" t="n"/>
      <c r="B892" s="9" t="n"/>
      <c r="C892" s="9" t="n"/>
      <c r="D892" s="9" t="n"/>
      <c r="E892" s="9" t="n"/>
      <c r="F892" s="8">
        <f>IF(A892="","",IFERROR(INDEX(Testes!$N$2:$N$500,MATCH(A892,Testes!$A$2:$A$500,0)),""))</f>
        <v/>
      </c>
      <c r="G892" s="8">
        <f>IF(F892="ocorrência","VP",IF(F892="sem ocorrência","FP",""))</f>
        <v/>
      </c>
      <c r="H892" s="7" t="n"/>
      <c r="I892" s="8">
        <f>IF(H892&lt;&gt;"",H892,G892)</f>
        <v/>
      </c>
    </row>
    <row r="893">
      <c r="A893" s="9" t="n"/>
      <c r="B893" s="9" t="n"/>
      <c r="C893" s="9" t="n"/>
      <c r="D893" s="9" t="n"/>
      <c r="E893" s="9" t="n"/>
      <c r="F893" s="8">
        <f>IF(A893="","",IFERROR(INDEX(Testes!$N$2:$N$500,MATCH(A893,Testes!$A$2:$A$500,0)),""))</f>
        <v/>
      </c>
      <c r="G893" s="8">
        <f>IF(F893="ocorrência","VP",IF(F893="sem ocorrência","FP",""))</f>
        <v/>
      </c>
      <c r="H893" s="7" t="n"/>
      <c r="I893" s="8">
        <f>IF(H893&lt;&gt;"",H893,G893)</f>
        <v/>
      </c>
    </row>
    <row r="894">
      <c r="A894" s="9" t="n"/>
      <c r="B894" s="9" t="n"/>
      <c r="C894" s="9" t="n"/>
      <c r="D894" s="9" t="n"/>
      <c r="E894" s="9" t="n"/>
      <c r="F894" s="8">
        <f>IF(A894="","",IFERROR(INDEX(Testes!$N$2:$N$500,MATCH(A894,Testes!$A$2:$A$500,0)),""))</f>
        <v/>
      </c>
      <c r="G894" s="8">
        <f>IF(F894="ocorrência","VP",IF(F894="sem ocorrência","FP",""))</f>
        <v/>
      </c>
      <c r="H894" s="7" t="n"/>
      <c r="I894" s="8">
        <f>IF(H894&lt;&gt;"",H894,G894)</f>
        <v/>
      </c>
    </row>
    <row r="895">
      <c r="A895" s="9" t="n"/>
      <c r="B895" s="9" t="n"/>
      <c r="C895" s="9" t="n"/>
      <c r="D895" s="9" t="n"/>
      <c r="E895" s="9" t="n"/>
      <c r="F895" s="8">
        <f>IF(A895="","",IFERROR(INDEX(Testes!$N$2:$N$500,MATCH(A895,Testes!$A$2:$A$500,0)),""))</f>
        <v/>
      </c>
      <c r="G895" s="8">
        <f>IF(F895="ocorrência","VP",IF(F895="sem ocorrência","FP",""))</f>
        <v/>
      </c>
      <c r="H895" s="7" t="n"/>
      <c r="I895" s="8">
        <f>IF(H895&lt;&gt;"",H895,G895)</f>
        <v/>
      </c>
    </row>
    <row r="896">
      <c r="A896" s="9" t="n"/>
      <c r="B896" s="9" t="n"/>
      <c r="C896" s="9" t="n"/>
      <c r="D896" s="9" t="n"/>
      <c r="E896" s="9" t="n"/>
      <c r="F896" s="8">
        <f>IF(A896="","",IFERROR(INDEX(Testes!$N$2:$N$500,MATCH(A896,Testes!$A$2:$A$500,0)),""))</f>
        <v/>
      </c>
      <c r="G896" s="8">
        <f>IF(F896="ocorrência","VP",IF(F896="sem ocorrência","FP",""))</f>
        <v/>
      </c>
      <c r="H896" s="7" t="n"/>
      <c r="I896" s="8">
        <f>IF(H896&lt;&gt;"",H896,G896)</f>
        <v/>
      </c>
    </row>
    <row r="897">
      <c r="A897" s="9" t="n"/>
      <c r="B897" s="9" t="n"/>
      <c r="C897" s="9" t="n"/>
      <c r="D897" s="9" t="n"/>
      <c r="E897" s="9" t="n"/>
      <c r="F897" s="8">
        <f>IF(A897="","",IFERROR(INDEX(Testes!$N$2:$N$500,MATCH(A897,Testes!$A$2:$A$500,0)),""))</f>
        <v/>
      </c>
      <c r="G897" s="8">
        <f>IF(F897="ocorrência","VP",IF(F897="sem ocorrência","FP",""))</f>
        <v/>
      </c>
      <c r="H897" s="7" t="n"/>
      <c r="I897" s="8">
        <f>IF(H897&lt;&gt;"",H897,G897)</f>
        <v/>
      </c>
    </row>
    <row r="898">
      <c r="A898" s="9" t="n"/>
      <c r="B898" s="9" t="n"/>
      <c r="C898" s="9" t="n"/>
      <c r="D898" s="9" t="n"/>
      <c r="E898" s="9" t="n"/>
      <c r="F898" s="8">
        <f>IF(A898="","",IFERROR(INDEX(Testes!$N$2:$N$500,MATCH(A898,Testes!$A$2:$A$500,0)),""))</f>
        <v/>
      </c>
      <c r="G898" s="8">
        <f>IF(F898="ocorrência","VP",IF(F898="sem ocorrência","FP",""))</f>
        <v/>
      </c>
      <c r="H898" s="7" t="n"/>
      <c r="I898" s="8">
        <f>IF(H898&lt;&gt;"",H898,G898)</f>
        <v/>
      </c>
    </row>
    <row r="899">
      <c r="A899" s="9" t="n"/>
      <c r="B899" s="9" t="n"/>
      <c r="C899" s="9" t="n"/>
      <c r="D899" s="9" t="n"/>
      <c r="E899" s="9" t="n"/>
      <c r="F899" s="8">
        <f>IF(A899="","",IFERROR(INDEX(Testes!$N$2:$N$500,MATCH(A899,Testes!$A$2:$A$500,0)),""))</f>
        <v/>
      </c>
      <c r="G899" s="8">
        <f>IF(F899="ocorrência","VP",IF(F899="sem ocorrência","FP",""))</f>
        <v/>
      </c>
      <c r="H899" s="7" t="n"/>
      <c r="I899" s="8">
        <f>IF(H899&lt;&gt;"",H899,G899)</f>
        <v/>
      </c>
    </row>
    <row r="900">
      <c r="A900" s="9" t="n"/>
      <c r="B900" s="9" t="n"/>
      <c r="C900" s="9" t="n"/>
      <c r="D900" s="9" t="n"/>
      <c r="E900" s="9" t="n"/>
      <c r="F900" s="8">
        <f>IF(A900="","",IFERROR(INDEX(Testes!$N$2:$N$500,MATCH(A900,Testes!$A$2:$A$500,0)),""))</f>
        <v/>
      </c>
      <c r="G900" s="8">
        <f>IF(F900="ocorrência","VP",IF(F900="sem ocorrência","FP",""))</f>
        <v/>
      </c>
      <c r="H900" s="7" t="n"/>
      <c r="I900" s="8">
        <f>IF(H900&lt;&gt;"",H900,G900)</f>
        <v/>
      </c>
    </row>
    <row r="901">
      <c r="A901" s="9" t="n"/>
      <c r="B901" s="9" t="n"/>
      <c r="C901" s="9" t="n"/>
      <c r="D901" s="9" t="n"/>
      <c r="E901" s="9" t="n"/>
      <c r="F901" s="8">
        <f>IF(A901="","",IFERROR(INDEX(Testes!$N$2:$N$500,MATCH(A901,Testes!$A$2:$A$500,0)),""))</f>
        <v/>
      </c>
      <c r="G901" s="8">
        <f>IF(F901="ocorrência","VP",IF(F901="sem ocorrência","FP",""))</f>
        <v/>
      </c>
      <c r="H901" s="7" t="n"/>
      <c r="I901" s="8">
        <f>IF(H901&lt;&gt;"",H901,G901)</f>
        <v/>
      </c>
    </row>
    <row r="902">
      <c r="A902" s="9" t="n"/>
      <c r="B902" s="9" t="n"/>
      <c r="C902" s="9" t="n"/>
      <c r="D902" s="9" t="n"/>
      <c r="E902" s="9" t="n"/>
      <c r="F902" s="8">
        <f>IF(A902="","",IFERROR(INDEX(Testes!$N$2:$N$500,MATCH(A902,Testes!$A$2:$A$500,0)),""))</f>
        <v/>
      </c>
      <c r="G902" s="8">
        <f>IF(F902="ocorrência","VP",IF(F902="sem ocorrência","FP",""))</f>
        <v/>
      </c>
      <c r="H902" s="7" t="n"/>
      <c r="I902" s="8">
        <f>IF(H902&lt;&gt;"",H902,G902)</f>
        <v/>
      </c>
    </row>
    <row r="903">
      <c r="A903" s="9" t="n"/>
      <c r="B903" s="9" t="n"/>
      <c r="C903" s="9" t="n"/>
      <c r="D903" s="9" t="n"/>
      <c r="E903" s="9" t="n"/>
      <c r="F903" s="8">
        <f>IF(A903="","",IFERROR(INDEX(Testes!$N$2:$N$500,MATCH(A903,Testes!$A$2:$A$500,0)),""))</f>
        <v/>
      </c>
      <c r="G903" s="8">
        <f>IF(F903="ocorrência","VP",IF(F903="sem ocorrência","FP",""))</f>
        <v/>
      </c>
      <c r="H903" s="7" t="n"/>
      <c r="I903" s="8">
        <f>IF(H903&lt;&gt;"",H903,G903)</f>
        <v/>
      </c>
    </row>
    <row r="904">
      <c r="A904" s="9" t="n"/>
      <c r="B904" s="9" t="n"/>
      <c r="C904" s="9" t="n"/>
      <c r="D904" s="9" t="n"/>
      <c r="E904" s="9" t="n"/>
      <c r="F904" s="8">
        <f>IF(A904="","",IFERROR(INDEX(Testes!$N$2:$N$500,MATCH(A904,Testes!$A$2:$A$500,0)),""))</f>
        <v/>
      </c>
      <c r="G904" s="8">
        <f>IF(F904="ocorrência","VP",IF(F904="sem ocorrência","FP",""))</f>
        <v/>
      </c>
      <c r="H904" s="7" t="n"/>
      <c r="I904" s="8">
        <f>IF(H904&lt;&gt;"",H904,G904)</f>
        <v/>
      </c>
    </row>
    <row r="905">
      <c r="A905" s="9" t="n"/>
      <c r="B905" s="9" t="n"/>
      <c r="C905" s="9" t="n"/>
      <c r="D905" s="9" t="n"/>
      <c r="E905" s="9" t="n"/>
      <c r="F905" s="8">
        <f>IF(A905="","",IFERROR(INDEX(Testes!$N$2:$N$500,MATCH(A905,Testes!$A$2:$A$500,0)),""))</f>
        <v/>
      </c>
      <c r="G905" s="8">
        <f>IF(F905="ocorrência","VP",IF(F905="sem ocorrência","FP",""))</f>
        <v/>
      </c>
      <c r="H905" s="7" t="n"/>
      <c r="I905" s="8">
        <f>IF(H905&lt;&gt;"",H905,G905)</f>
        <v/>
      </c>
    </row>
    <row r="906">
      <c r="A906" s="9" t="n"/>
      <c r="B906" s="9" t="n"/>
      <c r="C906" s="9" t="n"/>
      <c r="D906" s="9" t="n"/>
      <c r="E906" s="9" t="n"/>
      <c r="F906" s="8">
        <f>IF(A906="","",IFERROR(INDEX(Testes!$N$2:$N$500,MATCH(A906,Testes!$A$2:$A$500,0)),""))</f>
        <v/>
      </c>
      <c r="G906" s="8">
        <f>IF(F906="ocorrência","VP",IF(F906="sem ocorrência","FP",""))</f>
        <v/>
      </c>
      <c r="H906" s="7" t="n"/>
      <c r="I906" s="8">
        <f>IF(H906&lt;&gt;"",H906,G906)</f>
        <v/>
      </c>
    </row>
    <row r="907">
      <c r="A907" s="9" t="n"/>
      <c r="B907" s="9" t="n"/>
      <c r="C907" s="9" t="n"/>
      <c r="D907" s="9" t="n"/>
      <c r="E907" s="9" t="n"/>
      <c r="F907" s="8">
        <f>IF(A907="","",IFERROR(INDEX(Testes!$N$2:$N$500,MATCH(A907,Testes!$A$2:$A$500,0)),""))</f>
        <v/>
      </c>
      <c r="G907" s="8">
        <f>IF(F907="ocorrência","VP",IF(F907="sem ocorrência","FP",""))</f>
        <v/>
      </c>
      <c r="H907" s="7" t="n"/>
      <c r="I907" s="8">
        <f>IF(H907&lt;&gt;"",H907,G907)</f>
        <v/>
      </c>
    </row>
    <row r="908">
      <c r="A908" s="9" t="n"/>
      <c r="B908" s="9" t="n"/>
      <c r="C908" s="9" t="n"/>
      <c r="D908" s="9" t="n"/>
      <c r="E908" s="9" t="n"/>
      <c r="F908" s="8">
        <f>IF(A908="","",IFERROR(INDEX(Testes!$N$2:$N$500,MATCH(A908,Testes!$A$2:$A$500,0)),""))</f>
        <v/>
      </c>
      <c r="G908" s="8">
        <f>IF(F908="ocorrência","VP",IF(F908="sem ocorrência","FP",""))</f>
        <v/>
      </c>
      <c r="H908" s="7" t="n"/>
      <c r="I908" s="8">
        <f>IF(H908&lt;&gt;"",H908,G908)</f>
        <v/>
      </c>
    </row>
    <row r="909">
      <c r="A909" s="9" t="n"/>
      <c r="B909" s="9" t="n"/>
      <c r="C909" s="9" t="n"/>
      <c r="D909" s="9" t="n"/>
      <c r="E909" s="9" t="n"/>
      <c r="F909" s="8">
        <f>IF(A909="","",IFERROR(INDEX(Testes!$N$2:$N$500,MATCH(A909,Testes!$A$2:$A$500,0)),""))</f>
        <v/>
      </c>
      <c r="G909" s="8">
        <f>IF(F909="ocorrência","VP",IF(F909="sem ocorrência","FP",""))</f>
        <v/>
      </c>
      <c r="H909" s="7" t="n"/>
      <c r="I909" s="8">
        <f>IF(H909&lt;&gt;"",H909,G909)</f>
        <v/>
      </c>
    </row>
    <row r="910">
      <c r="A910" s="9" t="n"/>
      <c r="B910" s="9" t="n"/>
      <c r="C910" s="9" t="n"/>
      <c r="D910" s="9" t="n"/>
      <c r="E910" s="9" t="n"/>
      <c r="F910" s="8">
        <f>IF(A910="","",IFERROR(INDEX(Testes!$N$2:$N$500,MATCH(A910,Testes!$A$2:$A$500,0)),""))</f>
        <v/>
      </c>
      <c r="G910" s="8">
        <f>IF(F910="ocorrência","VP",IF(F910="sem ocorrência","FP",""))</f>
        <v/>
      </c>
      <c r="H910" s="7" t="n"/>
      <c r="I910" s="8">
        <f>IF(H910&lt;&gt;"",H910,G910)</f>
        <v/>
      </c>
    </row>
    <row r="911">
      <c r="A911" s="9" t="n"/>
      <c r="B911" s="9" t="n"/>
      <c r="C911" s="9" t="n"/>
      <c r="D911" s="9" t="n"/>
      <c r="E911" s="9" t="n"/>
      <c r="F911" s="8">
        <f>IF(A911="","",IFERROR(INDEX(Testes!$N$2:$N$500,MATCH(A911,Testes!$A$2:$A$500,0)),""))</f>
        <v/>
      </c>
      <c r="G911" s="8">
        <f>IF(F911="ocorrência","VP",IF(F911="sem ocorrência","FP",""))</f>
        <v/>
      </c>
      <c r="H911" s="7" t="n"/>
      <c r="I911" s="8">
        <f>IF(H911&lt;&gt;"",H911,G911)</f>
        <v/>
      </c>
    </row>
    <row r="912">
      <c r="A912" s="9" t="n"/>
      <c r="B912" s="9" t="n"/>
      <c r="C912" s="9" t="n"/>
      <c r="D912" s="9" t="n"/>
      <c r="E912" s="9" t="n"/>
      <c r="F912" s="8">
        <f>IF(A912="","",IFERROR(INDEX(Testes!$N$2:$N$500,MATCH(A912,Testes!$A$2:$A$500,0)),""))</f>
        <v/>
      </c>
      <c r="G912" s="8">
        <f>IF(F912="ocorrência","VP",IF(F912="sem ocorrência","FP",""))</f>
        <v/>
      </c>
      <c r="H912" s="7" t="n"/>
      <c r="I912" s="8">
        <f>IF(H912&lt;&gt;"",H912,G912)</f>
        <v/>
      </c>
    </row>
    <row r="913">
      <c r="A913" s="9" t="n"/>
      <c r="B913" s="9" t="n"/>
      <c r="C913" s="9" t="n"/>
      <c r="D913" s="9" t="n"/>
      <c r="E913" s="9" t="n"/>
      <c r="F913" s="8">
        <f>IF(A913="","",IFERROR(INDEX(Testes!$N$2:$N$500,MATCH(A913,Testes!$A$2:$A$500,0)),""))</f>
        <v/>
      </c>
      <c r="G913" s="8">
        <f>IF(F913="ocorrência","VP",IF(F913="sem ocorrência","FP",""))</f>
        <v/>
      </c>
      <c r="H913" s="7" t="n"/>
      <c r="I913" s="8">
        <f>IF(H913&lt;&gt;"",H913,G913)</f>
        <v/>
      </c>
    </row>
    <row r="914">
      <c r="A914" s="9" t="n"/>
      <c r="B914" s="9" t="n"/>
      <c r="C914" s="9" t="n"/>
      <c r="D914" s="9" t="n"/>
      <c r="E914" s="9" t="n"/>
      <c r="F914" s="8">
        <f>IF(A914="","",IFERROR(INDEX(Testes!$N$2:$N$500,MATCH(A914,Testes!$A$2:$A$500,0)),""))</f>
        <v/>
      </c>
      <c r="G914" s="8">
        <f>IF(F914="ocorrência","VP",IF(F914="sem ocorrência","FP",""))</f>
        <v/>
      </c>
      <c r="H914" s="7" t="n"/>
      <c r="I914" s="8">
        <f>IF(H914&lt;&gt;"",H914,G914)</f>
        <v/>
      </c>
    </row>
    <row r="915">
      <c r="A915" s="9" t="n"/>
      <c r="B915" s="9" t="n"/>
      <c r="C915" s="9" t="n"/>
      <c r="D915" s="9" t="n"/>
      <c r="E915" s="9" t="n"/>
      <c r="F915" s="8">
        <f>IF(A915="","",IFERROR(INDEX(Testes!$N$2:$N$500,MATCH(A915,Testes!$A$2:$A$500,0)),""))</f>
        <v/>
      </c>
      <c r="G915" s="8">
        <f>IF(F915="ocorrência","VP",IF(F915="sem ocorrência","FP",""))</f>
        <v/>
      </c>
      <c r="H915" s="7" t="n"/>
      <c r="I915" s="8">
        <f>IF(H915&lt;&gt;"",H915,G915)</f>
        <v/>
      </c>
    </row>
    <row r="916">
      <c r="A916" s="9" t="n"/>
      <c r="B916" s="9" t="n"/>
      <c r="C916" s="9" t="n"/>
      <c r="D916" s="9" t="n"/>
      <c r="E916" s="9" t="n"/>
      <c r="F916" s="8">
        <f>IF(A916="","",IFERROR(INDEX(Testes!$N$2:$N$500,MATCH(A916,Testes!$A$2:$A$500,0)),""))</f>
        <v/>
      </c>
      <c r="G916" s="8">
        <f>IF(F916="ocorrência","VP",IF(F916="sem ocorrência","FP",""))</f>
        <v/>
      </c>
      <c r="H916" s="7" t="n"/>
      <c r="I916" s="8">
        <f>IF(H916&lt;&gt;"",H916,G916)</f>
        <v/>
      </c>
    </row>
    <row r="917">
      <c r="A917" s="9" t="n"/>
      <c r="B917" s="9" t="n"/>
      <c r="C917" s="9" t="n"/>
      <c r="D917" s="9" t="n"/>
      <c r="E917" s="9" t="n"/>
      <c r="F917" s="8">
        <f>IF(A917="","",IFERROR(INDEX(Testes!$N$2:$N$500,MATCH(A917,Testes!$A$2:$A$500,0)),""))</f>
        <v/>
      </c>
      <c r="G917" s="8">
        <f>IF(F917="ocorrência","VP",IF(F917="sem ocorrência","FP",""))</f>
        <v/>
      </c>
      <c r="H917" s="7" t="n"/>
      <c r="I917" s="8">
        <f>IF(H917&lt;&gt;"",H917,G917)</f>
        <v/>
      </c>
    </row>
    <row r="918">
      <c r="A918" s="9" t="n"/>
      <c r="B918" s="9" t="n"/>
      <c r="C918" s="9" t="n"/>
      <c r="D918" s="9" t="n"/>
      <c r="E918" s="9" t="n"/>
      <c r="F918" s="8">
        <f>IF(A918="","",IFERROR(INDEX(Testes!$N$2:$N$500,MATCH(A918,Testes!$A$2:$A$500,0)),""))</f>
        <v/>
      </c>
      <c r="G918" s="8">
        <f>IF(F918="ocorrência","VP",IF(F918="sem ocorrência","FP",""))</f>
        <v/>
      </c>
      <c r="H918" s="7" t="n"/>
      <c r="I918" s="8">
        <f>IF(H918&lt;&gt;"",H918,G918)</f>
        <v/>
      </c>
    </row>
    <row r="919">
      <c r="A919" s="9" t="n"/>
      <c r="B919" s="9" t="n"/>
      <c r="C919" s="9" t="n"/>
      <c r="D919" s="9" t="n"/>
      <c r="E919" s="9" t="n"/>
      <c r="F919" s="8">
        <f>IF(A919="","",IFERROR(INDEX(Testes!$N$2:$N$500,MATCH(A919,Testes!$A$2:$A$500,0)),""))</f>
        <v/>
      </c>
      <c r="G919" s="8">
        <f>IF(F919="ocorrência","VP",IF(F919="sem ocorrência","FP",""))</f>
        <v/>
      </c>
      <c r="H919" s="7" t="n"/>
      <c r="I919" s="8">
        <f>IF(H919&lt;&gt;"",H919,G919)</f>
        <v/>
      </c>
    </row>
    <row r="920">
      <c r="A920" s="9" t="n"/>
      <c r="B920" s="9" t="n"/>
      <c r="C920" s="9" t="n"/>
      <c r="D920" s="9" t="n"/>
      <c r="E920" s="9" t="n"/>
      <c r="F920" s="8">
        <f>IF(A920="","",IFERROR(INDEX(Testes!$N$2:$N$500,MATCH(A920,Testes!$A$2:$A$500,0)),""))</f>
        <v/>
      </c>
      <c r="G920" s="8">
        <f>IF(F920="ocorrência","VP",IF(F920="sem ocorrência","FP",""))</f>
        <v/>
      </c>
      <c r="H920" s="7" t="n"/>
      <c r="I920" s="8">
        <f>IF(H920&lt;&gt;"",H920,G920)</f>
        <v/>
      </c>
    </row>
    <row r="921">
      <c r="A921" s="9" t="n"/>
      <c r="B921" s="9" t="n"/>
      <c r="C921" s="9" t="n"/>
      <c r="D921" s="9" t="n"/>
      <c r="E921" s="9" t="n"/>
      <c r="F921" s="8">
        <f>IF(A921="","",IFERROR(INDEX(Testes!$N$2:$N$500,MATCH(A921,Testes!$A$2:$A$500,0)),""))</f>
        <v/>
      </c>
      <c r="G921" s="8">
        <f>IF(F921="ocorrência","VP",IF(F921="sem ocorrência","FP",""))</f>
        <v/>
      </c>
      <c r="H921" s="7" t="n"/>
      <c r="I921" s="8">
        <f>IF(H921&lt;&gt;"",H921,G921)</f>
        <v/>
      </c>
    </row>
    <row r="922">
      <c r="A922" s="9" t="n"/>
      <c r="B922" s="9" t="n"/>
      <c r="C922" s="9" t="n"/>
      <c r="D922" s="9" t="n"/>
      <c r="E922" s="9" t="n"/>
      <c r="F922" s="8">
        <f>IF(A922="","",IFERROR(INDEX(Testes!$N$2:$N$500,MATCH(A922,Testes!$A$2:$A$500,0)),""))</f>
        <v/>
      </c>
      <c r="G922" s="8">
        <f>IF(F922="ocorrência","VP",IF(F922="sem ocorrência","FP",""))</f>
        <v/>
      </c>
      <c r="H922" s="7" t="n"/>
      <c r="I922" s="8">
        <f>IF(H922&lt;&gt;"",H922,G922)</f>
        <v/>
      </c>
    </row>
    <row r="923">
      <c r="A923" s="9" t="n"/>
      <c r="B923" s="9" t="n"/>
      <c r="C923" s="9" t="n"/>
      <c r="D923" s="9" t="n"/>
      <c r="E923" s="9" t="n"/>
      <c r="F923" s="8">
        <f>IF(A923="","",IFERROR(INDEX(Testes!$N$2:$N$500,MATCH(A923,Testes!$A$2:$A$500,0)),""))</f>
        <v/>
      </c>
      <c r="G923" s="8">
        <f>IF(F923="ocorrência","VP",IF(F923="sem ocorrência","FP",""))</f>
        <v/>
      </c>
      <c r="H923" s="7" t="n"/>
      <c r="I923" s="8">
        <f>IF(H923&lt;&gt;"",H923,G923)</f>
        <v/>
      </c>
    </row>
    <row r="924">
      <c r="A924" s="9" t="n"/>
      <c r="B924" s="9" t="n"/>
      <c r="C924" s="9" t="n"/>
      <c r="D924" s="9" t="n"/>
      <c r="E924" s="9" t="n"/>
      <c r="F924" s="8">
        <f>IF(A924="","",IFERROR(INDEX(Testes!$N$2:$N$500,MATCH(A924,Testes!$A$2:$A$500,0)),""))</f>
        <v/>
      </c>
      <c r="G924" s="8">
        <f>IF(F924="ocorrência","VP",IF(F924="sem ocorrência","FP",""))</f>
        <v/>
      </c>
      <c r="H924" s="7" t="n"/>
      <c r="I924" s="8">
        <f>IF(H924&lt;&gt;"",H924,G924)</f>
        <v/>
      </c>
    </row>
    <row r="925">
      <c r="A925" s="9" t="n"/>
      <c r="B925" s="9" t="n"/>
      <c r="C925" s="9" t="n"/>
      <c r="D925" s="9" t="n"/>
      <c r="E925" s="9" t="n"/>
      <c r="F925" s="8">
        <f>IF(A925="","",IFERROR(INDEX(Testes!$N$2:$N$500,MATCH(A925,Testes!$A$2:$A$500,0)),""))</f>
        <v/>
      </c>
      <c r="G925" s="8">
        <f>IF(F925="ocorrência","VP",IF(F925="sem ocorrência","FP",""))</f>
        <v/>
      </c>
      <c r="H925" s="7" t="n"/>
      <c r="I925" s="8">
        <f>IF(H925&lt;&gt;"",H925,G925)</f>
        <v/>
      </c>
    </row>
    <row r="926">
      <c r="A926" s="9" t="n"/>
      <c r="B926" s="9" t="n"/>
      <c r="C926" s="9" t="n"/>
      <c r="D926" s="9" t="n"/>
      <c r="E926" s="9" t="n"/>
      <c r="F926" s="8">
        <f>IF(A926="","",IFERROR(INDEX(Testes!$N$2:$N$500,MATCH(A926,Testes!$A$2:$A$500,0)),""))</f>
        <v/>
      </c>
      <c r="G926" s="8">
        <f>IF(F926="ocorrência","VP",IF(F926="sem ocorrência","FP",""))</f>
        <v/>
      </c>
      <c r="H926" s="7" t="n"/>
      <c r="I926" s="8">
        <f>IF(H926&lt;&gt;"",H926,G926)</f>
        <v/>
      </c>
    </row>
    <row r="927">
      <c r="A927" s="9" t="n"/>
      <c r="B927" s="9" t="n"/>
      <c r="C927" s="9" t="n"/>
      <c r="D927" s="9" t="n"/>
      <c r="E927" s="9" t="n"/>
      <c r="F927" s="8">
        <f>IF(A927="","",IFERROR(INDEX(Testes!$N$2:$N$500,MATCH(A927,Testes!$A$2:$A$500,0)),""))</f>
        <v/>
      </c>
      <c r="G927" s="8">
        <f>IF(F927="ocorrência","VP",IF(F927="sem ocorrência","FP",""))</f>
        <v/>
      </c>
      <c r="H927" s="7" t="n"/>
      <c r="I927" s="8">
        <f>IF(H927&lt;&gt;"",H927,G927)</f>
        <v/>
      </c>
    </row>
    <row r="928">
      <c r="A928" s="9" t="n"/>
      <c r="B928" s="9" t="n"/>
      <c r="C928" s="9" t="n"/>
      <c r="D928" s="9" t="n"/>
      <c r="E928" s="9" t="n"/>
      <c r="F928" s="8">
        <f>IF(A928="","",IFERROR(INDEX(Testes!$N$2:$N$500,MATCH(A928,Testes!$A$2:$A$500,0)),""))</f>
        <v/>
      </c>
      <c r="G928" s="8">
        <f>IF(F928="ocorrência","VP",IF(F928="sem ocorrência","FP",""))</f>
        <v/>
      </c>
      <c r="H928" s="7" t="n"/>
      <c r="I928" s="8">
        <f>IF(H928&lt;&gt;"",H928,G928)</f>
        <v/>
      </c>
    </row>
    <row r="929">
      <c r="A929" s="9" t="n"/>
      <c r="B929" s="9" t="n"/>
      <c r="C929" s="9" t="n"/>
      <c r="D929" s="9" t="n"/>
      <c r="E929" s="9" t="n"/>
      <c r="F929" s="8">
        <f>IF(A929="","",IFERROR(INDEX(Testes!$N$2:$N$500,MATCH(A929,Testes!$A$2:$A$500,0)),""))</f>
        <v/>
      </c>
      <c r="G929" s="8">
        <f>IF(F929="ocorrência","VP",IF(F929="sem ocorrência","FP",""))</f>
        <v/>
      </c>
      <c r="H929" s="7" t="n"/>
      <c r="I929" s="8">
        <f>IF(H929&lt;&gt;"",H929,G929)</f>
        <v/>
      </c>
    </row>
    <row r="930">
      <c r="A930" s="9" t="n"/>
      <c r="B930" s="9" t="n"/>
      <c r="C930" s="9" t="n"/>
      <c r="D930" s="9" t="n"/>
      <c r="E930" s="9" t="n"/>
      <c r="F930" s="8">
        <f>IF(A930="","",IFERROR(INDEX(Testes!$N$2:$N$500,MATCH(A930,Testes!$A$2:$A$500,0)),""))</f>
        <v/>
      </c>
      <c r="G930" s="8">
        <f>IF(F930="ocorrência","VP",IF(F930="sem ocorrência","FP",""))</f>
        <v/>
      </c>
      <c r="H930" s="7" t="n"/>
      <c r="I930" s="8">
        <f>IF(H930&lt;&gt;"",H930,G930)</f>
        <v/>
      </c>
    </row>
    <row r="931">
      <c r="A931" s="9" t="n"/>
      <c r="B931" s="9" t="n"/>
      <c r="C931" s="9" t="n"/>
      <c r="D931" s="9" t="n"/>
      <c r="E931" s="9" t="n"/>
      <c r="F931" s="8">
        <f>IF(A931="","",IFERROR(INDEX(Testes!$N$2:$N$500,MATCH(A931,Testes!$A$2:$A$500,0)),""))</f>
        <v/>
      </c>
      <c r="G931" s="8">
        <f>IF(F931="ocorrência","VP",IF(F931="sem ocorrência","FP",""))</f>
        <v/>
      </c>
      <c r="H931" s="7" t="n"/>
      <c r="I931" s="8">
        <f>IF(H931&lt;&gt;"",H931,G931)</f>
        <v/>
      </c>
    </row>
    <row r="932">
      <c r="A932" s="9" t="n"/>
      <c r="B932" s="9" t="n"/>
      <c r="C932" s="9" t="n"/>
      <c r="D932" s="9" t="n"/>
      <c r="E932" s="9" t="n"/>
      <c r="F932" s="8">
        <f>IF(A932="","",IFERROR(INDEX(Testes!$N$2:$N$500,MATCH(A932,Testes!$A$2:$A$500,0)),""))</f>
        <v/>
      </c>
      <c r="G932" s="8">
        <f>IF(F932="ocorrência","VP",IF(F932="sem ocorrência","FP",""))</f>
        <v/>
      </c>
      <c r="H932" s="7" t="n"/>
      <c r="I932" s="8">
        <f>IF(H932&lt;&gt;"",H932,G932)</f>
        <v/>
      </c>
    </row>
    <row r="933">
      <c r="A933" s="9" t="n"/>
      <c r="B933" s="9" t="n"/>
      <c r="C933" s="9" t="n"/>
      <c r="D933" s="9" t="n"/>
      <c r="E933" s="9" t="n"/>
      <c r="F933" s="8">
        <f>IF(A933="","",IFERROR(INDEX(Testes!$N$2:$N$500,MATCH(A933,Testes!$A$2:$A$500,0)),""))</f>
        <v/>
      </c>
      <c r="G933" s="8">
        <f>IF(F933="ocorrência","VP",IF(F933="sem ocorrência","FP",""))</f>
        <v/>
      </c>
      <c r="H933" s="7" t="n"/>
      <c r="I933" s="8">
        <f>IF(H933&lt;&gt;"",H933,G933)</f>
        <v/>
      </c>
    </row>
    <row r="934">
      <c r="A934" s="9" t="n"/>
      <c r="B934" s="9" t="n"/>
      <c r="C934" s="9" t="n"/>
      <c r="D934" s="9" t="n"/>
      <c r="E934" s="9" t="n"/>
      <c r="F934" s="8">
        <f>IF(A934="","",IFERROR(INDEX(Testes!$N$2:$N$500,MATCH(A934,Testes!$A$2:$A$500,0)),""))</f>
        <v/>
      </c>
      <c r="G934" s="8">
        <f>IF(F934="ocorrência","VP",IF(F934="sem ocorrência","FP",""))</f>
        <v/>
      </c>
      <c r="H934" s="7" t="n"/>
      <c r="I934" s="8">
        <f>IF(H934&lt;&gt;"",H934,G934)</f>
        <v/>
      </c>
    </row>
    <row r="935">
      <c r="A935" s="9" t="n"/>
      <c r="B935" s="9" t="n"/>
      <c r="C935" s="9" t="n"/>
      <c r="D935" s="9" t="n"/>
      <c r="E935" s="9" t="n"/>
      <c r="F935" s="8">
        <f>IF(A935="","",IFERROR(INDEX(Testes!$N$2:$N$500,MATCH(A935,Testes!$A$2:$A$500,0)),""))</f>
        <v/>
      </c>
      <c r="G935" s="8">
        <f>IF(F935="ocorrência","VP",IF(F935="sem ocorrência","FP",""))</f>
        <v/>
      </c>
      <c r="H935" s="7" t="n"/>
      <c r="I935" s="8">
        <f>IF(H935&lt;&gt;"",H935,G935)</f>
        <v/>
      </c>
    </row>
    <row r="936">
      <c r="A936" s="9" t="n"/>
      <c r="B936" s="9" t="n"/>
      <c r="C936" s="9" t="n"/>
      <c r="D936" s="9" t="n"/>
      <c r="E936" s="9" t="n"/>
      <c r="F936" s="8">
        <f>IF(A936="","",IFERROR(INDEX(Testes!$N$2:$N$500,MATCH(A936,Testes!$A$2:$A$500,0)),""))</f>
        <v/>
      </c>
      <c r="G936" s="8">
        <f>IF(F936="ocorrência","VP",IF(F936="sem ocorrência","FP",""))</f>
        <v/>
      </c>
      <c r="H936" s="7" t="n"/>
      <c r="I936" s="8">
        <f>IF(H936&lt;&gt;"",H936,G936)</f>
        <v/>
      </c>
    </row>
    <row r="937">
      <c r="A937" s="9" t="n"/>
      <c r="B937" s="9" t="n"/>
      <c r="C937" s="9" t="n"/>
      <c r="D937" s="9" t="n"/>
      <c r="E937" s="9" t="n"/>
      <c r="F937" s="8">
        <f>IF(A937="","",IFERROR(INDEX(Testes!$N$2:$N$500,MATCH(A937,Testes!$A$2:$A$500,0)),""))</f>
        <v/>
      </c>
      <c r="G937" s="8">
        <f>IF(F937="ocorrência","VP",IF(F937="sem ocorrência","FP",""))</f>
        <v/>
      </c>
      <c r="H937" s="7" t="n"/>
      <c r="I937" s="8">
        <f>IF(H937&lt;&gt;"",H937,G937)</f>
        <v/>
      </c>
    </row>
    <row r="938">
      <c r="A938" s="9" t="n"/>
      <c r="B938" s="9" t="n"/>
      <c r="C938" s="9" t="n"/>
      <c r="D938" s="9" t="n"/>
      <c r="E938" s="9" t="n"/>
      <c r="F938" s="8">
        <f>IF(A938="","",IFERROR(INDEX(Testes!$N$2:$N$500,MATCH(A938,Testes!$A$2:$A$500,0)),""))</f>
        <v/>
      </c>
      <c r="G938" s="8">
        <f>IF(F938="ocorrência","VP",IF(F938="sem ocorrência","FP",""))</f>
        <v/>
      </c>
      <c r="H938" s="7" t="n"/>
      <c r="I938" s="8">
        <f>IF(H938&lt;&gt;"",H938,G938)</f>
        <v/>
      </c>
    </row>
    <row r="939">
      <c r="A939" s="9" t="n"/>
      <c r="B939" s="9" t="n"/>
      <c r="C939" s="9" t="n"/>
      <c r="D939" s="9" t="n"/>
      <c r="E939" s="9" t="n"/>
      <c r="F939" s="8">
        <f>IF(A939="","",IFERROR(INDEX(Testes!$N$2:$N$500,MATCH(A939,Testes!$A$2:$A$500,0)),""))</f>
        <v/>
      </c>
      <c r="G939" s="8">
        <f>IF(F939="ocorrência","VP",IF(F939="sem ocorrência","FP",""))</f>
        <v/>
      </c>
      <c r="H939" s="7" t="n"/>
      <c r="I939" s="8">
        <f>IF(H939&lt;&gt;"",H939,G939)</f>
        <v/>
      </c>
    </row>
    <row r="940">
      <c r="A940" s="9" t="n"/>
      <c r="B940" s="9" t="n"/>
      <c r="C940" s="9" t="n"/>
      <c r="D940" s="9" t="n"/>
      <c r="E940" s="9" t="n"/>
      <c r="F940" s="8">
        <f>IF(A940="","",IFERROR(INDEX(Testes!$N$2:$N$500,MATCH(A940,Testes!$A$2:$A$500,0)),""))</f>
        <v/>
      </c>
      <c r="G940" s="8">
        <f>IF(F940="ocorrência","VP",IF(F940="sem ocorrência","FP",""))</f>
        <v/>
      </c>
      <c r="H940" s="7" t="n"/>
      <c r="I940" s="8">
        <f>IF(H940&lt;&gt;"",H940,G940)</f>
        <v/>
      </c>
    </row>
    <row r="941">
      <c r="A941" s="9" t="n"/>
      <c r="B941" s="9" t="n"/>
      <c r="C941" s="9" t="n"/>
      <c r="D941" s="9" t="n"/>
      <c r="E941" s="9" t="n"/>
      <c r="F941" s="8">
        <f>IF(A941="","",IFERROR(INDEX(Testes!$N$2:$N$500,MATCH(A941,Testes!$A$2:$A$500,0)),""))</f>
        <v/>
      </c>
      <c r="G941" s="8">
        <f>IF(F941="ocorrência","VP",IF(F941="sem ocorrência","FP",""))</f>
        <v/>
      </c>
      <c r="H941" s="7" t="n"/>
      <c r="I941" s="8">
        <f>IF(H941&lt;&gt;"",H941,G941)</f>
        <v/>
      </c>
    </row>
    <row r="942">
      <c r="A942" s="9" t="n"/>
      <c r="B942" s="9" t="n"/>
      <c r="C942" s="9" t="n"/>
      <c r="D942" s="9" t="n"/>
      <c r="E942" s="9" t="n"/>
      <c r="F942" s="8">
        <f>IF(A942="","",IFERROR(INDEX(Testes!$N$2:$N$500,MATCH(A942,Testes!$A$2:$A$500,0)),""))</f>
        <v/>
      </c>
      <c r="G942" s="8">
        <f>IF(F942="ocorrência","VP",IF(F942="sem ocorrência","FP",""))</f>
        <v/>
      </c>
      <c r="H942" s="7" t="n"/>
      <c r="I942" s="8">
        <f>IF(H942&lt;&gt;"",H942,G942)</f>
        <v/>
      </c>
    </row>
    <row r="943">
      <c r="A943" s="9" t="n"/>
      <c r="B943" s="9" t="n"/>
      <c r="C943" s="9" t="n"/>
      <c r="D943" s="9" t="n"/>
      <c r="E943" s="9" t="n"/>
      <c r="F943" s="8">
        <f>IF(A943="","",IFERROR(INDEX(Testes!$N$2:$N$500,MATCH(A943,Testes!$A$2:$A$500,0)),""))</f>
        <v/>
      </c>
      <c r="G943" s="8">
        <f>IF(F943="ocorrência","VP",IF(F943="sem ocorrência","FP",""))</f>
        <v/>
      </c>
      <c r="H943" s="7" t="n"/>
      <c r="I943" s="8">
        <f>IF(H943&lt;&gt;"",H943,G943)</f>
        <v/>
      </c>
    </row>
    <row r="944">
      <c r="A944" s="9" t="n"/>
      <c r="B944" s="9" t="n"/>
      <c r="C944" s="9" t="n"/>
      <c r="D944" s="9" t="n"/>
      <c r="E944" s="9" t="n"/>
      <c r="F944" s="8">
        <f>IF(A944="","",IFERROR(INDEX(Testes!$N$2:$N$500,MATCH(A944,Testes!$A$2:$A$500,0)),""))</f>
        <v/>
      </c>
      <c r="G944" s="8">
        <f>IF(F944="ocorrência","VP",IF(F944="sem ocorrência","FP",""))</f>
        <v/>
      </c>
      <c r="H944" s="7" t="n"/>
      <c r="I944" s="8">
        <f>IF(H944&lt;&gt;"",H944,G944)</f>
        <v/>
      </c>
    </row>
    <row r="945">
      <c r="A945" s="9" t="n"/>
      <c r="B945" s="9" t="n"/>
      <c r="C945" s="9" t="n"/>
      <c r="D945" s="9" t="n"/>
      <c r="E945" s="9" t="n"/>
      <c r="F945" s="8">
        <f>IF(A945="","",IFERROR(INDEX(Testes!$N$2:$N$500,MATCH(A945,Testes!$A$2:$A$500,0)),""))</f>
        <v/>
      </c>
      <c r="G945" s="8">
        <f>IF(F945="ocorrência","VP",IF(F945="sem ocorrência","FP",""))</f>
        <v/>
      </c>
      <c r="H945" s="7" t="n"/>
      <c r="I945" s="8">
        <f>IF(H945&lt;&gt;"",H945,G945)</f>
        <v/>
      </c>
    </row>
    <row r="946">
      <c r="A946" s="9" t="n"/>
      <c r="B946" s="9" t="n"/>
      <c r="C946" s="9" t="n"/>
      <c r="D946" s="9" t="n"/>
      <c r="E946" s="9" t="n"/>
      <c r="F946" s="8">
        <f>IF(A946="","",IFERROR(INDEX(Testes!$N$2:$N$500,MATCH(A946,Testes!$A$2:$A$500,0)),""))</f>
        <v/>
      </c>
      <c r="G946" s="8">
        <f>IF(F946="ocorrência","VP",IF(F946="sem ocorrência","FP",""))</f>
        <v/>
      </c>
      <c r="H946" s="7" t="n"/>
      <c r="I946" s="8">
        <f>IF(H946&lt;&gt;"",H946,G946)</f>
        <v/>
      </c>
    </row>
    <row r="947">
      <c r="A947" s="9" t="n"/>
      <c r="B947" s="9" t="n"/>
      <c r="C947" s="9" t="n"/>
      <c r="D947" s="9" t="n"/>
      <c r="E947" s="9" t="n"/>
      <c r="F947" s="8">
        <f>IF(A947="","",IFERROR(INDEX(Testes!$N$2:$N$500,MATCH(A947,Testes!$A$2:$A$500,0)),""))</f>
        <v/>
      </c>
      <c r="G947" s="8">
        <f>IF(F947="ocorrência","VP",IF(F947="sem ocorrência","FP",""))</f>
        <v/>
      </c>
      <c r="H947" s="7" t="n"/>
      <c r="I947" s="8">
        <f>IF(H947&lt;&gt;"",H947,G947)</f>
        <v/>
      </c>
    </row>
    <row r="948">
      <c r="A948" s="9" t="n"/>
      <c r="B948" s="9" t="n"/>
      <c r="C948" s="9" t="n"/>
      <c r="D948" s="9" t="n"/>
      <c r="E948" s="9" t="n"/>
      <c r="F948" s="8">
        <f>IF(A948="","",IFERROR(INDEX(Testes!$N$2:$N$500,MATCH(A948,Testes!$A$2:$A$500,0)),""))</f>
        <v/>
      </c>
      <c r="G948" s="8">
        <f>IF(F948="ocorrência","VP",IF(F948="sem ocorrência","FP",""))</f>
        <v/>
      </c>
      <c r="H948" s="7" t="n"/>
      <c r="I948" s="8">
        <f>IF(H948&lt;&gt;"",H948,G948)</f>
        <v/>
      </c>
    </row>
    <row r="949">
      <c r="A949" s="9" t="n"/>
      <c r="B949" s="9" t="n"/>
      <c r="C949" s="9" t="n"/>
      <c r="D949" s="9" t="n"/>
      <c r="E949" s="9" t="n"/>
      <c r="F949" s="8">
        <f>IF(A949="","",IFERROR(INDEX(Testes!$N$2:$N$500,MATCH(A949,Testes!$A$2:$A$500,0)),""))</f>
        <v/>
      </c>
      <c r="G949" s="8">
        <f>IF(F949="ocorrência","VP",IF(F949="sem ocorrência","FP",""))</f>
        <v/>
      </c>
      <c r="H949" s="7" t="n"/>
      <c r="I949" s="8">
        <f>IF(H949&lt;&gt;"",H949,G949)</f>
        <v/>
      </c>
    </row>
    <row r="950">
      <c r="A950" s="9" t="n"/>
      <c r="B950" s="9" t="n"/>
      <c r="C950" s="9" t="n"/>
      <c r="D950" s="9" t="n"/>
      <c r="E950" s="9" t="n"/>
      <c r="F950" s="8">
        <f>IF(A950="","",IFERROR(INDEX(Testes!$N$2:$N$500,MATCH(A950,Testes!$A$2:$A$500,0)),""))</f>
        <v/>
      </c>
      <c r="G950" s="8">
        <f>IF(F950="ocorrência","VP",IF(F950="sem ocorrência","FP",""))</f>
        <v/>
      </c>
      <c r="H950" s="7" t="n"/>
      <c r="I950" s="8">
        <f>IF(H950&lt;&gt;"",H950,G950)</f>
        <v/>
      </c>
    </row>
    <row r="951">
      <c r="A951" s="9" t="n"/>
      <c r="B951" s="9" t="n"/>
      <c r="C951" s="9" t="n"/>
      <c r="D951" s="9" t="n"/>
      <c r="E951" s="9" t="n"/>
      <c r="F951" s="8">
        <f>IF(A951="","",IFERROR(INDEX(Testes!$N$2:$N$500,MATCH(A951,Testes!$A$2:$A$500,0)),""))</f>
        <v/>
      </c>
      <c r="G951" s="8">
        <f>IF(F951="ocorrência","VP",IF(F951="sem ocorrência","FP",""))</f>
        <v/>
      </c>
      <c r="H951" s="7" t="n"/>
      <c r="I951" s="8">
        <f>IF(H951&lt;&gt;"",H951,G951)</f>
        <v/>
      </c>
    </row>
    <row r="952">
      <c r="A952" s="9" t="n"/>
      <c r="B952" s="9" t="n"/>
      <c r="C952" s="9" t="n"/>
      <c r="D952" s="9" t="n"/>
      <c r="E952" s="9" t="n"/>
      <c r="F952" s="8">
        <f>IF(A952="","",IFERROR(INDEX(Testes!$N$2:$N$500,MATCH(A952,Testes!$A$2:$A$500,0)),""))</f>
        <v/>
      </c>
      <c r="G952" s="8">
        <f>IF(F952="ocorrência","VP",IF(F952="sem ocorrência","FP",""))</f>
        <v/>
      </c>
      <c r="H952" s="7" t="n"/>
      <c r="I952" s="8">
        <f>IF(H952&lt;&gt;"",H952,G952)</f>
        <v/>
      </c>
    </row>
    <row r="953">
      <c r="A953" s="9" t="n"/>
      <c r="B953" s="9" t="n"/>
      <c r="C953" s="9" t="n"/>
      <c r="D953" s="9" t="n"/>
      <c r="E953" s="9" t="n"/>
      <c r="F953" s="8">
        <f>IF(A953="","",IFERROR(INDEX(Testes!$N$2:$N$500,MATCH(A953,Testes!$A$2:$A$500,0)),""))</f>
        <v/>
      </c>
      <c r="G953" s="8">
        <f>IF(F953="ocorrência","VP",IF(F953="sem ocorrência","FP",""))</f>
        <v/>
      </c>
      <c r="H953" s="7" t="n"/>
      <c r="I953" s="8">
        <f>IF(H953&lt;&gt;"",H953,G953)</f>
        <v/>
      </c>
    </row>
    <row r="954">
      <c r="A954" s="9" t="n"/>
      <c r="B954" s="9" t="n"/>
      <c r="C954" s="9" t="n"/>
      <c r="D954" s="9" t="n"/>
      <c r="E954" s="9" t="n"/>
      <c r="F954" s="8">
        <f>IF(A954="","",IFERROR(INDEX(Testes!$N$2:$N$500,MATCH(A954,Testes!$A$2:$A$500,0)),""))</f>
        <v/>
      </c>
      <c r="G954" s="8">
        <f>IF(F954="ocorrência","VP",IF(F954="sem ocorrência","FP",""))</f>
        <v/>
      </c>
      <c r="H954" s="7" t="n"/>
      <c r="I954" s="8">
        <f>IF(H954&lt;&gt;"",H954,G954)</f>
        <v/>
      </c>
    </row>
    <row r="955">
      <c r="A955" s="9" t="n"/>
      <c r="B955" s="9" t="n"/>
      <c r="C955" s="9" t="n"/>
      <c r="D955" s="9" t="n"/>
      <c r="E955" s="9" t="n"/>
      <c r="F955" s="8">
        <f>IF(A955="","",IFERROR(INDEX(Testes!$N$2:$N$500,MATCH(A955,Testes!$A$2:$A$500,0)),""))</f>
        <v/>
      </c>
      <c r="G955" s="8">
        <f>IF(F955="ocorrência","VP",IF(F955="sem ocorrência","FP",""))</f>
        <v/>
      </c>
      <c r="H955" s="7" t="n"/>
      <c r="I955" s="8">
        <f>IF(H955&lt;&gt;"",H955,G955)</f>
        <v/>
      </c>
    </row>
    <row r="956">
      <c r="A956" s="9" t="n"/>
      <c r="B956" s="9" t="n"/>
      <c r="C956" s="9" t="n"/>
      <c r="D956" s="9" t="n"/>
      <c r="E956" s="9" t="n"/>
      <c r="F956" s="8">
        <f>IF(A956="","",IFERROR(INDEX(Testes!$N$2:$N$500,MATCH(A956,Testes!$A$2:$A$500,0)),""))</f>
        <v/>
      </c>
      <c r="G956" s="8">
        <f>IF(F956="ocorrência","VP",IF(F956="sem ocorrência","FP",""))</f>
        <v/>
      </c>
      <c r="H956" s="7" t="n"/>
      <c r="I956" s="8">
        <f>IF(H956&lt;&gt;"",H956,G956)</f>
        <v/>
      </c>
    </row>
    <row r="957">
      <c r="A957" s="9" t="n"/>
      <c r="B957" s="9" t="n"/>
      <c r="C957" s="9" t="n"/>
      <c r="D957" s="9" t="n"/>
      <c r="E957" s="9" t="n"/>
      <c r="F957" s="8">
        <f>IF(A957="","",IFERROR(INDEX(Testes!$N$2:$N$500,MATCH(A957,Testes!$A$2:$A$500,0)),""))</f>
        <v/>
      </c>
      <c r="G957" s="8">
        <f>IF(F957="ocorrência","VP",IF(F957="sem ocorrência","FP",""))</f>
        <v/>
      </c>
      <c r="H957" s="7" t="n"/>
      <c r="I957" s="8">
        <f>IF(H957&lt;&gt;"",H957,G957)</f>
        <v/>
      </c>
    </row>
    <row r="958">
      <c r="A958" s="9" t="n"/>
      <c r="B958" s="9" t="n"/>
      <c r="C958" s="9" t="n"/>
      <c r="D958" s="9" t="n"/>
      <c r="E958" s="9" t="n"/>
      <c r="F958" s="8">
        <f>IF(A958="","",IFERROR(INDEX(Testes!$N$2:$N$500,MATCH(A958,Testes!$A$2:$A$500,0)),""))</f>
        <v/>
      </c>
      <c r="G958" s="8">
        <f>IF(F958="ocorrência","VP",IF(F958="sem ocorrência","FP",""))</f>
        <v/>
      </c>
      <c r="H958" s="7" t="n"/>
      <c r="I958" s="8">
        <f>IF(H958&lt;&gt;"",H958,G958)</f>
        <v/>
      </c>
    </row>
    <row r="959">
      <c r="A959" s="9" t="n"/>
      <c r="B959" s="9" t="n"/>
      <c r="C959" s="9" t="n"/>
      <c r="D959" s="9" t="n"/>
      <c r="E959" s="9" t="n"/>
      <c r="F959" s="8">
        <f>IF(A959="","",IFERROR(INDEX(Testes!$N$2:$N$500,MATCH(A959,Testes!$A$2:$A$500,0)),""))</f>
        <v/>
      </c>
      <c r="G959" s="8">
        <f>IF(F959="ocorrência","VP",IF(F959="sem ocorrência","FP",""))</f>
        <v/>
      </c>
      <c r="H959" s="7" t="n"/>
      <c r="I959" s="8">
        <f>IF(H959&lt;&gt;"",H959,G959)</f>
        <v/>
      </c>
    </row>
    <row r="960">
      <c r="A960" s="9" t="n"/>
      <c r="B960" s="9" t="n"/>
      <c r="C960" s="9" t="n"/>
      <c r="D960" s="9" t="n"/>
      <c r="E960" s="9" t="n"/>
      <c r="F960" s="8">
        <f>IF(A960="","",IFERROR(INDEX(Testes!$N$2:$N$500,MATCH(A960,Testes!$A$2:$A$500,0)),""))</f>
        <v/>
      </c>
      <c r="G960" s="8">
        <f>IF(F960="ocorrência","VP",IF(F960="sem ocorrência","FP",""))</f>
        <v/>
      </c>
      <c r="H960" s="7" t="n"/>
      <c r="I960" s="8">
        <f>IF(H960&lt;&gt;"",H960,G960)</f>
        <v/>
      </c>
    </row>
    <row r="961">
      <c r="A961" s="9" t="n"/>
      <c r="B961" s="9" t="n"/>
      <c r="C961" s="9" t="n"/>
      <c r="D961" s="9" t="n"/>
      <c r="E961" s="9" t="n"/>
      <c r="F961" s="8">
        <f>IF(A961="","",IFERROR(INDEX(Testes!$N$2:$N$500,MATCH(A961,Testes!$A$2:$A$500,0)),""))</f>
        <v/>
      </c>
      <c r="G961" s="8">
        <f>IF(F961="ocorrência","VP",IF(F961="sem ocorrência","FP",""))</f>
        <v/>
      </c>
      <c r="H961" s="7" t="n"/>
      <c r="I961" s="8">
        <f>IF(H961&lt;&gt;"",H961,G961)</f>
        <v/>
      </c>
    </row>
    <row r="962">
      <c r="A962" s="9" t="n"/>
      <c r="B962" s="9" t="n"/>
      <c r="C962" s="9" t="n"/>
      <c r="D962" s="9" t="n"/>
      <c r="E962" s="9" t="n"/>
      <c r="F962" s="8">
        <f>IF(A962="","",IFERROR(INDEX(Testes!$N$2:$N$500,MATCH(A962,Testes!$A$2:$A$500,0)),""))</f>
        <v/>
      </c>
      <c r="G962" s="8">
        <f>IF(F962="ocorrência","VP",IF(F962="sem ocorrência","FP",""))</f>
        <v/>
      </c>
      <c r="H962" s="7" t="n"/>
      <c r="I962" s="8">
        <f>IF(H962&lt;&gt;"",H962,G962)</f>
        <v/>
      </c>
    </row>
    <row r="963">
      <c r="A963" s="9" t="n"/>
      <c r="B963" s="9" t="n"/>
      <c r="C963" s="9" t="n"/>
      <c r="D963" s="9" t="n"/>
      <c r="E963" s="9" t="n"/>
      <c r="F963" s="8">
        <f>IF(A963="","",IFERROR(INDEX(Testes!$N$2:$N$500,MATCH(A963,Testes!$A$2:$A$500,0)),""))</f>
        <v/>
      </c>
      <c r="G963" s="8">
        <f>IF(F963="ocorrência","VP",IF(F963="sem ocorrência","FP",""))</f>
        <v/>
      </c>
      <c r="H963" s="7" t="n"/>
      <c r="I963" s="8">
        <f>IF(H963&lt;&gt;"",H963,G963)</f>
        <v/>
      </c>
    </row>
    <row r="964">
      <c r="A964" s="9" t="n"/>
      <c r="B964" s="9" t="n"/>
      <c r="C964" s="9" t="n"/>
      <c r="D964" s="9" t="n"/>
      <c r="E964" s="9" t="n"/>
      <c r="F964" s="8">
        <f>IF(A964="","",IFERROR(INDEX(Testes!$N$2:$N$500,MATCH(A964,Testes!$A$2:$A$500,0)),""))</f>
        <v/>
      </c>
      <c r="G964" s="8">
        <f>IF(F964="ocorrência","VP",IF(F964="sem ocorrência","FP",""))</f>
        <v/>
      </c>
      <c r="H964" s="7" t="n"/>
      <c r="I964" s="8">
        <f>IF(H964&lt;&gt;"",H964,G964)</f>
        <v/>
      </c>
    </row>
    <row r="965">
      <c r="A965" s="9" t="n"/>
      <c r="B965" s="9" t="n"/>
      <c r="C965" s="9" t="n"/>
      <c r="D965" s="9" t="n"/>
      <c r="E965" s="9" t="n"/>
      <c r="F965" s="8">
        <f>IF(A965="","",IFERROR(INDEX(Testes!$N$2:$N$500,MATCH(A965,Testes!$A$2:$A$500,0)),""))</f>
        <v/>
      </c>
      <c r="G965" s="8">
        <f>IF(F965="ocorrência","VP",IF(F965="sem ocorrência","FP",""))</f>
        <v/>
      </c>
      <c r="H965" s="7" t="n"/>
      <c r="I965" s="8">
        <f>IF(H965&lt;&gt;"",H965,G965)</f>
        <v/>
      </c>
    </row>
    <row r="966">
      <c r="A966" s="9" t="n"/>
      <c r="B966" s="9" t="n"/>
      <c r="C966" s="9" t="n"/>
      <c r="D966" s="9" t="n"/>
      <c r="E966" s="9" t="n"/>
      <c r="F966" s="8">
        <f>IF(A966="","",IFERROR(INDEX(Testes!$N$2:$N$500,MATCH(A966,Testes!$A$2:$A$500,0)),""))</f>
        <v/>
      </c>
      <c r="G966" s="8">
        <f>IF(F966="ocorrência","VP",IF(F966="sem ocorrência","FP",""))</f>
        <v/>
      </c>
      <c r="H966" s="7" t="n"/>
      <c r="I966" s="8">
        <f>IF(H966&lt;&gt;"",H966,G966)</f>
        <v/>
      </c>
    </row>
    <row r="967">
      <c r="A967" s="9" t="n"/>
      <c r="B967" s="9" t="n"/>
      <c r="C967" s="9" t="n"/>
      <c r="D967" s="9" t="n"/>
      <c r="E967" s="9" t="n"/>
      <c r="F967" s="8">
        <f>IF(A967="","",IFERROR(INDEX(Testes!$N$2:$N$500,MATCH(A967,Testes!$A$2:$A$500,0)),""))</f>
        <v/>
      </c>
      <c r="G967" s="8">
        <f>IF(F967="ocorrência","VP",IF(F967="sem ocorrência","FP",""))</f>
        <v/>
      </c>
      <c r="H967" s="7" t="n"/>
      <c r="I967" s="8">
        <f>IF(H967&lt;&gt;"",H967,G967)</f>
        <v/>
      </c>
    </row>
    <row r="968">
      <c r="A968" s="9" t="n"/>
      <c r="B968" s="9" t="n"/>
      <c r="C968" s="9" t="n"/>
      <c r="D968" s="9" t="n"/>
      <c r="E968" s="9" t="n"/>
      <c r="F968" s="8">
        <f>IF(A968="","",IFERROR(INDEX(Testes!$N$2:$N$500,MATCH(A968,Testes!$A$2:$A$500,0)),""))</f>
        <v/>
      </c>
      <c r="G968" s="8">
        <f>IF(F968="ocorrência","VP",IF(F968="sem ocorrência","FP",""))</f>
        <v/>
      </c>
      <c r="H968" s="7" t="n"/>
      <c r="I968" s="8">
        <f>IF(H968&lt;&gt;"",H968,G968)</f>
        <v/>
      </c>
    </row>
    <row r="969">
      <c r="A969" s="9" t="n"/>
      <c r="B969" s="9" t="n"/>
      <c r="C969" s="9" t="n"/>
      <c r="D969" s="9" t="n"/>
      <c r="E969" s="9" t="n"/>
      <c r="F969" s="8">
        <f>IF(A969="","",IFERROR(INDEX(Testes!$N$2:$N$500,MATCH(A969,Testes!$A$2:$A$500,0)),""))</f>
        <v/>
      </c>
      <c r="G969" s="8">
        <f>IF(F969="ocorrência","VP",IF(F969="sem ocorrência","FP",""))</f>
        <v/>
      </c>
      <c r="H969" s="7" t="n"/>
      <c r="I969" s="8">
        <f>IF(H969&lt;&gt;"",H969,G969)</f>
        <v/>
      </c>
    </row>
    <row r="970">
      <c r="A970" s="9" t="n"/>
      <c r="B970" s="9" t="n"/>
      <c r="C970" s="9" t="n"/>
      <c r="D970" s="9" t="n"/>
      <c r="E970" s="9" t="n"/>
      <c r="F970" s="8">
        <f>IF(A970="","",IFERROR(INDEX(Testes!$N$2:$N$500,MATCH(A970,Testes!$A$2:$A$500,0)),""))</f>
        <v/>
      </c>
      <c r="G970" s="8">
        <f>IF(F970="ocorrência","VP",IF(F970="sem ocorrência","FP",""))</f>
        <v/>
      </c>
      <c r="H970" s="7" t="n"/>
      <c r="I970" s="8">
        <f>IF(H970&lt;&gt;"",H970,G970)</f>
        <v/>
      </c>
    </row>
    <row r="971">
      <c r="A971" s="9" t="n"/>
      <c r="B971" s="9" t="n"/>
      <c r="C971" s="9" t="n"/>
      <c r="D971" s="9" t="n"/>
      <c r="E971" s="9" t="n"/>
      <c r="F971" s="8">
        <f>IF(A971="","",IFERROR(INDEX(Testes!$N$2:$N$500,MATCH(A971,Testes!$A$2:$A$500,0)),""))</f>
        <v/>
      </c>
      <c r="G971" s="8">
        <f>IF(F971="ocorrência","VP",IF(F971="sem ocorrência","FP",""))</f>
        <v/>
      </c>
      <c r="H971" s="7" t="n"/>
      <c r="I971" s="8">
        <f>IF(H971&lt;&gt;"",H971,G971)</f>
        <v/>
      </c>
    </row>
    <row r="972">
      <c r="A972" s="9" t="n"/>
      <c r="B972" s="9" t="n"/>
      <c r="C972" s="9" t="n"/>
      <c r="D972" s="9" t="n"/>
      <c r="E972" s="9" t="n"/>
      <c r="F972" s="8">
        <f>IF(A972="","",IFERROR(INDEX(Testes!$N$2:$N$500,MATCH(A972,Testes!$A$2:$A$500,0)),""))</f>
        <v/>
      </c>
      <c r="G972" s="8">
        <f>IF(F972="ocorrência","VP",IF(F972="sem ocorrência","FP",""))</f>
        <v/>
      </c>
      <c r="H972" s="7" t="n"/>
      <c r="I972" s="8">
        <f>IF(H972&lt;&gt;"",H972,G972)</f>
        <v/>
      </c>
    </row>
    <row r="973">
      <c r="A973" s="9" t="n"/>
      <c r="B973" s="9" t="n"/>
      <c r="C973" s="9" t="n"/>
      <c r="D973" s="9" t="n"/>
      <c r="E973" s="9" t="n"/>
      <c r="F973" s="8">
        <f>IF(A973="","",IFERROR(INDEX(Testes!$N$2:$N$500,MATCH(A973,Testes!$A$2:$A$500,0)),""))</f>
        <v/>
      </c>
      <c r="G973" s="8">
        <f>IF(F973="ocorrência","VP",IF(F973="sem ocorrência","FP",""))</f>
        <v/>
      </c>
      <c r="H973" s="7" t="n"/>
      <c r="I973" s="8">
        <f>IF(H973&lt;&gt;"",H973,G973)</f>
        <v/>
      </c>
    </row>
    <row r="974">
      <c r="A974" s="9" t="n"/>
      <c r="B974" s="9" t="n"/>
      <c r="C974" s="9" t="n"/>
      <c r="D974" s="9" t="n"/>
      <c r="E974" s="9" t="n"/>
      <c r="F974" s="8">
        <f>IF(A974="","",IFERROR(INDEX(Testes!$N$2:$N$500,MATCH(A974,Testes!$A$2:$A$500,0)),""))</f>
        <v/>
      </c>
      <c r="G974" s="8">
        <f>IF(F974="ocorrência","VP",IF(F974="sem ocorrência","FP",""))</f>
        <v/>
      </c>
      <c r="H974" s="7" t="n"/>
      <c r="I974" s="8">
        <f>IF(H974&lt;&gt;"",H974,G974)</f>
        <v/>
      </c>
    </row>
    <row r="975">
      <c r="A975" s="9" t="n"/>
      <c r="B975" s="9" t="n"/>
      <c r="C975" s="9" t="n"/>
      <c r="D975" s="9" t="n"/>
      <c r="E975" s="9" t="n"/>
      <c r="F975" s="8">
        <f>IF(A975="","",IFERROR(INDEX(Testes!$N$2:$N$500,MATCH(A975,Testes!$A$2:$A$500,0)),""))</f>
        <v/>
      </c>
      <c r="G975" s="8">
        <f>IF(F975="ocorrência","VP",IF(F975="sem ocorrência","FP",""))</f>
        <v/>
      </c>
      <c r="H975" s="7" t="n"/>
      <c r="I975" s="8">
        <f>IF(H975&lt;&gt;"",H975,G975)</f>
        <v/>
      </c>
    </row>
    <row r="976">
      <c r="A976" s="9" t="n"/>
      <c r="B976" s="9" t="n"/>
      <c r="C976" s="9" t="n"/>
      <c r="D976" s="9" t="n"/>
      <c r="E976" s="9" t="n"/>
      <c r="F976" s="8">
        <f>IF(A976="","",IFERROR(INDEX(Testes!$N$2:$N$500,MATCH(A976,Testes!$A$2:$A$500,0)),""))</f>
        <v/>
      </c>
      <c r="G976" s="8">
        <f>IF(F976="ocorrência","VP",IF(F976="sem ocorrência","FP",""))</f>
        <v/>
      </c>
      <c r="H976" s="7" t="n"/>
      <c r="I976" s="8">
        <f>IF(H976&lt;&gt;"",H976,G976)</f>
        <v/>
      </c>
    </row>
    <row r="977">
      <c r="A977" s="9" t="n"/>
      <c r="B977" s="9" t="n"/>
      <c r="C977" s="9" t="n"/>
      <c r="D977" s="9" t="n"/>
      <c r="E977" s="9" t="n"/>
      <c r="F977" s="8">
        <f>IF(A977="","",IFERROR(INDEX(Testes!$N$2:$N$500,MATCH(A977,Testes!$A$2:$A$500,0)),""))</f>
        <v/>
      </c>
      <c r="G977" s="8">
        <f>IF(F977="ocorrência","VP",IF(F977="sem ocorrência","FP",""))</f>
        <v/>
      </c>
      <c r="H977" s="7" t="n"/>
      <c r="I977" s="8">
        <f>IF(H977&lt;&gt;"",H977,G977)</f>
        <v/>
      </c>
    </row>
    <row r="978">
      <c r="A978" s="9" t="n"/>
      <c r="B978" s="9" t="n"/>
      <c r="C978" s="9" t="n"/>
      <c r="D978" s="9" t="n"/>
      <c r="E978" s="9" t="n"/>
      <c r="F978" s="8">
        <f>IF(A978="","",IFERROR(INDEX(Testes!$N$2:$N$500,MATCH(A978,Testes!$A$2:$A$500,0)),""))</f>
        <v/>
      </c>
      <c r="G978" s="8">
        <f>IF(F978="ocorrência","VP",IF(F978="sem ocorrência","FP",""))</f>
        <v/>
      </c>
      <c r="H978" s="7" t="n"/>
      <c r="I978" s="8">
        <f>IF(H978&lt;&gt;"",H978,G978)</f>
        <v/>
      </c>
    </row>
    <row r="979">
      <c r="A979" s="9" t="n"/>
      <c r="B979" s="9" t="n"/>
      <c r="C979" s="9" t="n"/>
      <c r="D979" s="9" t="n"/>
      <c r="E979" s="9" t="n"/>
      <c r="F979" s="8">
        <f>IF(A979="","",IFERROR(INDEX(Testes!$N$2:$N$500,MATCH(A979,Testes!$A$2:$A$500,0)),""))</f>
        <v/>
      </c>
      <c r="G979" s="8">
        <f>IF(F979="ocorrência","VP",IF(F979="sem ocorrência","FP",""))</f>
        <v/>
      </c>
      <c r="H979" s="7" t="n"/>
      <c r="I979" s="8">
        <f>IF(H979&lt;&gt;"",H979,G979)</f>
        <v/>
      </c>
    </row>
    <row r="980">
      <c r="A980" s="9" t="n"/>
      <c r="B980" s="9" t="n"/>
      <c r="C980" s="9" t="n"/>
      <c r="D980" s="9" t="n"/>
      <c r="E980" s="9" t="n"/>
      <c r="F980" s="8">
        <f>IF(A980="","",IFERROR(INDEX(Testes!$N$2:$N$500,MATCH(A980,Testes!$A$2:$A$500,0)),""))</f>
        <v/>
      </c>
      <c r="G980" s="8">
        <f>IF(F980="ocorrência","VP",IF(F980="sem ocorrência","FP",""))</f>
        <v/>
      </c>
      <c r="H980" s="7" t="n"/>
      <c r="I980" s="8">
        <f>IF(H980&lt;&gt;"",H980,G980)</f>
        <v/>
      </c>
    </row>
    <row r="981">
      <c r="A981" s="9" t="n"/>
      <c r="B981" s="9" t="n"/>
      <c r="C981" s="9" t="n"/>
      <c r="D981" s="9" t="n"/>
      <c r="E981" s="9" t="n"/>
      <c r="F981" s="8">
        <f>IF(A981="","",IFERROR(INDEX(Testes!$N$2:$N$500,MATCH(A981,Testes!$A$2:$A$500,0)),""))</f>
        <v/>
      </c>
      <c r="G981" s="8">
        <f>IF(F981="ocorrência","VP",IF(F981="sem ocorrência","FP",""))</f>
        <v/>
      </c>
      <c r="H981" s="7" t="n"/>
      <c r="I981" s="8">
        <f>IF(H981&lt;&gt;"",H981,G981)</f>
        <v/>
      </c>
    </row>
    <row r="982">
      <c r="A982" s="9" t="n"/>
      <c r="B982" s="9" t="n"/>
      <c r="C982" s="9" t="n"/>
      <c r="D982" s="9" t="n"/>
      <c r="E982" s="9" t="n"/>
      <c r="F982" s="8">
        <f>IF(A982="","",IFERROR(INDEX(Testes!$N$2:$N$500,MATCH(A982,Testes!$A$2:$A$500,0)),""))</f>
        <v/>
      </c>
      <c r="G982" s="8">
        <f>IF(F982="ocorrência","VP",IF(F982="sem ocorrência","FP",""))</f>
        <v/>
      </c>
      <c r="H982" s="7" t="n"/>
      <c r="I982" s="8">
        <f>IF(H982&lt;&gt;"",H982,G982)</f>
        <v/>
      </c>
    </row>
    <row r="983">
      <c r="A983" s="9" t="n"/>
      <c r="B983" s="9" t="n"/>
      <c r="C983" s="9" t="n"/>
      <c r="D983" s="9" t="n"/>
      <c r="E983" s="9" t="n"/>
      <c r="F983" s="8">
        <f>IF(A983="","",IFERROR(INDEX(Testes!$N$2:$N$500,MATCH(A983,Testes!$A$2:$A$500,0)),""))</f>
        <v/>
      </c>
      <c r="G983" s="8">
        <f>IF(F983="ocorrência","VP",IF(F983="sem ocorrência","FP",""))</f>
        <v/>
      </c>
      <c r="H983" s="7" t="n"/>
      <c r="I983" s="8">
        <f>IF(H983&lt;&gt;"",H983,G983)</f>
        <v/>
      </c>
    </row>
    <row r="984">
      <c r="A984" s="9" t="n"/>
      <c r="B984" s="9" t="n"/>
      <c r="C984" s="9" t="n"/>
      <c r="D984" s="9" t="n"/>
      <c r="E984" s="9" t="n"/>
      <c r="F984" s="8">
        <f>IF(A984="","",IFERROR(INDEX(Testes!$N$2:$N$500,MATCH(A984,Testes!$A$2:$A$500,0)),""))</f>
        <v/>
      </c>
      <c r="G984" s="8">
        <f>IF(F984="ocorrência","VP",IF(F984="sem ocorrência","FP",""))</f>
        <v/>
      </c>
      <c r="H984" s="7" t="n"/>
      <c r="I984" s="8">
        <f>IF(H984&lt;&gt;"",H984,G984)</f>
        <v/>
      </c>
    </row>
    <row r="985">
      <c r="A985" s="9" t="n"/>
      <c r="B985" s="9" t="n"/>
      <c r="C985" s="9" t="n"/>
      <c r="D985" s="9" t="n"/>
      <c r="E985" s="9" t="n"/>
      <c r="F985" s="8">
        <f>IF(A985="","",IFERROR(INDEX(Testes!$N$2:$N$500,MATCH(A985,Testes!$A$2:$A$500,0)),""))</f>
        <v/>
      </c>
      <c r="G985" s="8">
        <f>IF(F985="ocorrência","VP",IF(F985="sem ocorrência","FP",""))</f>
        <v/>
      </c>
      <c r="H985" s="7" t="n"/>
      <c r="I985" s="8">
        <f>IF(H985&lt;&gt;"",H985,G985)</f>
        <v/>
      </c>
    </row>
    <row r="986">
      <c r="A986" s="9" t="n"/>
      <c r="B986" s="9" t="n"/>
      <c r="C986" s="9" t="n"/>
      <c r="D986" s="9" t="n"/>
      <c r="E986" s="9" t="n"/>
      <c r="F986" s="8">
        <f>IF(A986="","",IFERROR(INDEX(Testes!$N$2:$N$500,MATCH(A986,Testes!$A$2:$A$500,0)),""))</f>
        <v/>
      </c>
      <c r="G986" s="8">
        <f>IF(F986="ocorrência","VP",IF(F986="sem ocorrência","FP",""))</f>
        <v/>
      </c>
      <c r="H986" s="7" t="n"/>
      <c r="I986" s="8">
        <f>IF(H986&lt;&gt;"",H986,G986)</f>
        <v/>
      </c>
    </row>
    <row r="987">
      <c r="A987" s="9" t="n"/>
      <c r="B987" s="9" t="n"/>
      <c r="C987" s="9" t="n"/>
      <c r="D987" s="9" t="n"/>
      <c r="E987" s="9" t="n"/>
      <c r="F987" s="8">
        <f>IF(A987="","",IFERROR(INDEX(Testes!$N$2:$N$500,MATCH(A987,Testes!$A$2:$A$500,0)),""))</f>
        <v/>
      </c>
      <c r="G987" s="8">
        <f>IF(F987="ocorrência","VP",IF(F987="sem ocorrência","FP",""))</f>
        <v/>
      </c>
      <c r="H987" s="7" t="n"/>
      <c r="I987" s="8">
        <f>IF(H987&lt;&gt;"",H987,G987)</f>
        <v/>
      </c>
    </row>
    <row r="988">
      <c r="A988" s="9" t="n"/>
      <c r="B988" s="9" t="n"/>
      <c r="C988" s="9" t="n"/>
      <c r="D988" s="9" t="n"/>
      <c r="E988" s="9" t="n"/>
      <c r="F988" s="8">
        <f>IF(A988="","",IFERROR(INDEX(Testes!$N$2:$N$500,MATCH(A988,Testes!$A$2:$A$500,0)),""))</f>
        <v/>
      </c>
      <c r="G988" s="8">
        <f>IF(F988="ocorrência","VP",IF(F988="sem ocorrência","FP",""))</f>
        <v/>
      </c>
      <c r="H988" s="7" t="n"/>
      <c r="I988" s="8">
        <f>IF(H988&lt;&gt;"",H988,G988)</f>
        <v/>
      </c>
    </row>
    <row r="989">
      <c r="A989" s="9" t="n"/>
      <c r="B989" s="9" t="n"/>
      <c r="C989" s="9" t="n"/>
      <c r="D989" s="9" t="n"/>
      <c r="E989" s="9" t="n"/>
      <c r="F989" s="8">
        <f>IF(A989="","",IFERROR(INDEX(Testes!$N$2:$N$500,MATCH(A989,Testes!$A$2:$A$500,0)),""))</f>
        <v/>
      </c>
      <c r="G989" s="8">
        <f>IF(F989="ocorrência","VP",IF(F989="sem ocorrência","FP",""))</f>
        <v/>
      </c>
      <c r="H989" s="7" t="n"/>
      <c r="I989" s="8">
        <f>IF(H989&lt;&gt;"",H989,G989)</f>
        <v/>
      </c>
    </row>
    <row r="990">
      <c r="A990" s="9" t="n"/>
      <c r="B990" s="9" t="n"/>
      <c r="C990" s="9" t="n"/>
      <c r="D990" s="9" t="n"/>
      <c r="E990" s="9" t="n"/>
      <c r="F990" s="8">
        <f>IF(A990="","",IFERROR(INDEX(Testes!$N$2:$N$500,MATCH(A990,Testes!$A$2:$A$500,0)),""))</f>
        <v/>
      </c>
      <c r="G990" s="8">
        <f>IF(F990="ocorrência","VP",IF(F990="sem ocorrência","FP",""))</f>
        <v/>
      </c>
      <c r="H990" s="7" t="n"/>
      <c r="I990" s="8">
        <f>IF(H990&lt;&gt;"",H990,G990)</f>
        <v/>
      </c>
    </row>
    <row r="991">
      <c r="A991" s="9" t="n"/>
      <c r="B991" s="9" t="n"/>
      <c r="C991" s="9" t="n"/>
      <c r="D991" s="9" t="n"/>
      <c r="E991" s="9" t="n"/>
      <c r="F991" s="8">
        <f>IF(A991="","",IFERROR(INDEX(Testes!$N$2:$N$500,MATCH(A991,Testes!$A$2:$A$500,0)),""))</f>
        <v/>
      </c>
      <c r="G991" s="8">
        <f>IF(F991="ocorrência","VP",IF(F991="sem ocorrência","FP",""))</f>
        <v/>
      </c>
      <c r="H991" s="7" t="n"/>
      <c r="I991" s="8">
        <f>IF(H991&lt;&gt;"",H991,G991)</f>
        <v/>
      </c>
    </row>
    <row r="992">
      <c r="A992" s="9" t="n"/>
      <c r="B992" s="9" t="n"/>
      <c r="C992" s="9" t="n"/>
      <c r="D992" s="9" t="n"/>
      <c r="E992" s="9" t="n"/>
      <c r="F992" s="8">
        <f>IF(A992="","",IFERROR(INDEX(Testes!$N$2:$N$500,MATCH(A992,Testes!$A$2:$A$500,0)),""))</f>
        <v/>
      </c>
      <c r="G992" s="8">
        <f>IF(F992="ocorrência","VP",IF(F992="sem ocorrência","FP",""))</f>
        <v/>
      </c>
      <c r="H992" s="7" t="n"/>
      <c r="I992" s="8">
        <f>IF(H992&lt;&gt;"",H992,G992)</f>
        <v/>
      </c>
    </row>
    <row r="993">
      <c r="A993" s="9" t="n"/>
      <c r="B993" s="9" t="n"/>
      <c r="C993" s="9" t="n"/>
      <c r="D993" s="9" t="n"/>
      <c r="E993" s="9" t="n"/>
      <c r="F993" s="8">
        <f>IF(A993="","",IFERROR(INDEX(Testes!$N$2:$N$500,MATCH(A993,Testes!$A$2:$A$500,0)),""))</f>
        <v/>
      </c>
      <c r="G993" s="8">
        <f>IF(F993="ocorrência","VP",IF(F993="sem ocorrência","FP",""))</f>
        <v/>
      </c>
      <c r="H993" s="7" t="n"/>
      <c r="I993" s="8">
        <f>IF(H993&lt;&gt;"",H993,G993)</f>
        <v/>
      </c>
    </row>
    <row r="994">
      <c r="A994" s="9" t="n"/>
      <c r="B994" s="9" t="n"/>
      <c r="C994" s="9" t="n"/>
      <c r="D994" s="9" t="n"/>
      <c r="E994" s="9" t="n"/>
      <c r="F994" s="8">
        <f>IF(A994="","",IFERROR(INDEX(Testes!$N$2:$N$500,MATCH(A994,Testes!$A$2:$A$500,0)),""))</f>
        <v/>
      </c>
      <c r="G994" s="8">
        <f>IF(F994="ocorrência","VP",IF(F994="sem ocorrência","FP",""))</f>
        <v/>
      </c>
      <c r="H994" s="7" t="n"/>
      <c r="I994" s="8">
        <f>IF(H994&lt;&gt;"",H994,G994)</f>
        <v/>
      </c>
    </row>
    <row r="995">
      <c r="A995" s="9" t="n"/>
      <c r="B995" s="9" t="n"/>
      <c r="C995" s="9" t="n"/>
      <c r="D995" s="9" t="n"/>
      <c r="E995" s="9" t="n"/>
      <c r="F995" s="8">
        <f>IF(A995="","",IFERROR(INDEX(Testes!$N$2:$N$500,MATCH(A995,Testes!$A$2:$A$500,0)),""))</f>
        <v/>
      </c>
      <c r="G995" s="8">
        <f>IF(F995="ocorrência","VP",IF(F995="sem ocorrência","FP",""))</f>
        <v/>
      </c>
      <c r="H995" s="7" t="n"/>
      <c r="I995" s="8">
        <f>IF(H995&lt;&gt;"",H995,G995)</f>
        <v/>
      </c>
    </row>
    <row r="996">
      <c r="A996" s="9" t="n"/>
      <c r="B996" s="9" t="n"/>
      <c r="C996" s="9" t="n"/>
      <c r="D996" s="9" t="n"/>
      <c r="E996" s="9" t="n"/>
      <c r="F996" s="8">
        <f>IF(A996="","",IFERROR(INDEX(Testes!$N$2:$N$500,MATCH(A996,Testes!$A$2:$A$500,0)),""))</f>
        <v/>
      </c>
      <c r="G996" s="8">
        <f>IF(F996="ocorrência","VP",IF(F996="sem ocorrência","FP",""))</f>
        <v/>
      </c>
      <c r="H996" s="7" t="n"/>
      <c r="I996" s="8">
        <f>IF(H996&lt;&gt;"",H996,G996)</f>
        <v/>
      </c>
    </row>
    <row r="997">
      <c r="A997" s="9" t="n"/>
      <c r="B997" s="9" t="n"/>
      <c r="C997" s="9" t="n"/>
      <c r="D997" s="9" t="n"/>
      <c r="E997" s="9" t="n"/>
      <c r="F997" s="8">
        <f>IF(A997="","",IFERROR(INDEX(Testes!$N$2:$N$500,MATCH(A997,Testes!$A$2:$A$500,0)),""))</f>
        <v/>
      </c>
      <c r="G997" s="8">
        <f>IF(F997="ocorrência","VP",IF(F997="sem ocorrência","FP",""))</f>
        <v/>
      </c>
      <c r="H997" s="7" t="n"/>
      <c r="I997" s="8">
        <f>IF(H997&lt;&gt;"",H997,G997)</f>
        <v/>
      </c>
    </row>
    <row r="998">
      <c r="A998" s="9" t="n"/>
      <c r="B998" s="9" t="n"/>
      <c r="C998" s="9" t="n"/>
      <c r="D998" s="9" t="n"/>
      <c r="E998" s="9" t="n"/>
      <c r="F998" s="8">
        <f>IF(A998="","",IFERROR(INDEX(Testes!$N$2:$N$500,MATCH(A998,Testes!$A$2:$A$500,0)),""))</f>
        <v/>
      </c>
      <c r="G998" s="8">
        <f>IF(F998="ocorrência","VP",IF(F998="sem ocorrência","FP",""))</f>
        <v/>
      </c>
      <c r="H998" s="7" t="n"/>
      <c r="I998" s="8">
        <f>IF(H998&lt;&gt;"",H998,G998)</f>
        <v/>
      </c>
    </row>
    <row r="999">
      <c r="A999" s="9" t="n"/>
      <c r="B999" s="9" t="n"/>
      <c r="C999" s="9" t="n"/>
      <c r="D999" s="9" t="n"/>
      <c r="E999" s="9" t="n"/>
      <c r="F999" s="8">
        <f>IF(A999="","",IFERROR(INDEX(Testes!$N$2:$N$500,MATCH(A999,Testes!$A$2:$A$500,0)),""))</f>
        <v/>
      </c>
      <c r="G999" s="8">
        <f>IF(F999="ocorrência","VP",IF(F999="sem ocorrência","FP",""))</f>
        <v/>
      </c>
      <c r="H999" s="7" t="n"/>
      <c r="I999" s="8">
        <f>IF(H999&lt;&gt;"",H999,G999)</f>
        <v/>
      </c>
    </row>
    <row r="1000">
      <c r="A1000" s="9" t="n"/>
      <c r="B1000" s="9" t="n"/>
      <c r="C1000" s="9" t="n"/>
      <c r="D1000" s="9" t="n"/>
      <c r="E1000" s="9" t="n"/>
      <c r="F1000" s="8">
        <f>IF(A1000="","",IFERROR(INDEX(Testes!$N$2:$N$500,MATCH(A1000,Testes!$A$2:$A$500,0)),""))</f>
        <v/>
      </c>
      <c r="G1000" s="8">
        <f>IF(F1000="ocorrência","VP",IF(F1000="sem ocorrência","FP",""))</f>
        <v/>
      </c>
      <c r="H1000" s="7" t="n"/>
      <c r="I1000" s="8">
        <f>IF(H1000&lt;&gt;"",H1000,G1000)</f>
        <v/>
      </c>
    </row>
    <row r="1001">
      <c r="A1001" s="9" t="n"/>
      <c r="B1001" s="9" t="n"/>
      <c r="C1001" s="9" t="n"/>
      <c r="D1001" s="9" t="n"/>
      <c r="E1001" s="9" t="n"/>
      <c r="F1001" s="8">
        <f>IF(A1001="","",IFERROR(INDEX(Testes!$N$2:$N$500,MATCH(A1001,Testes!$A$2:$A$500,0)),""))</f>
        <v/>
      </c>
      <c r="G1001" s="8">
        <f>IF(F1001="ocorrência","VP",IF(F1001="sem ocorrência","FP",""))</f>
        <v/>
      </c>
      <c r="H1001" s="7" t="n"/>
      <c r="I1001" s="8">
        <f>IF(H1001&lt;&gt;"",H1001,G1001)</f>
        <v/>
      </c>
    </row>
    <row r="1002">
      <c r="A1002" s="9" t="n"/>
      <c r="B1002" s="9" t="n"/>
      <c r="C1002" s="9" t="n"/>
      <c r="D1002" s="9" t="n"/>
      <c r="E1002" s="9" t="n"/>
      <c r="F1002" s="8">
        <f>IF(A1002="","",IFERROR(INDEX(Testes!$N$2:$N$500,MATCH(A1002,Testes!$A$2:$A$500,0)),""))</f>
        <v/>
      </c>
      <c r="G1002" s="8">
        <f>IF(F1002="ocorrência","VP",IF(F1002="sem ocorrência","FP",""))</f>
        <v/>
      </c>
      <c r="H1002" s="7" t="n"/>
      <c r="I1002" s="8">
        <f>IF(H1002&lt;&gt;"",H1002,G1002)</f>
        <v/>
      </c>
    </row>
    <row r="1003">
      <c r="A1003" s="9" t="n"/>
      <c r="B1003" s="9" t="n"/>
      <c r="C1003" s="9" t="n"/>
      <c r="D1003" s="9" t="n"/>
      <c r="E1003" s="9" t="n"/>
      <c r="F1003" s="8">
        <f>IF(A1003="","",IFERROR(INDEX(Testes!$N$2:$N$500,MATCH(A1003,Testes!$A$2:$A$500,0)),""))</f>
        <v/>
      </c>
      <c r="G1003" s="8">
        <f>IF(F1003="ocorrência","VP",IF(F1003="sem ocorrência","FP",""))</f>
        <v/>
      </c>
      <c r="H1003" s="7" t="n"/>
      <c r="I1003" s="8">
        <f>IF(H1003&lt;&gt;"",H1003,G1003)</f>
        <v/>
      </c>
    </row>
    <row r="1004">
      <c r="A1004" s="9" t="n"/>
      <c r="B1004" s="9" t="n"/>
      <c r="C1004" s="9" t="n"/>
      <c r="D1004" s="9" t="n"/>
      <c r="E1004" s="9" t="n"/>
      <c r="F1004" s="8">
        <f>IF(A1004="","",IFERROR(INDEX(Testes!$N$2:$N$500,MATCH(A1004,Testes!$A$2:$A$500,0)),""))</f>
        <v/>
      </c>
      <c r="G1004" s="8">
        <f>IF(F1004="ocorrência","VP",IF(F1004="sem ocorrência","FP",""))</f>
        <v/>
      </c>
      <c r="H1004" s="7" t="n"/>
      <c r="I1004" s="8">
        <f>IF(H1004&lt;&gt;"",H1004,G1004)</f>
        <v/>
      </c>
    </row>
    <row r="1005">
      <c r="A1005" s="9" t="n"/>
      <c r="B1005" s="9" t="n"/>
      <c r="C1005" s="9" t="n"/>
      <c r="D1005" s="9" t="n"/>
      <c r="E1005" s="9" t="n"/>
      <c r="F1005" s="8">
        <f>IF(A1005="","",IFERROR(INDEX(Testes!$N$2:$N$500,MATCH(A1005,Testes!$A$2:$A$500,0)),""))</f>
        <v/>
      </c>
      <c r="G1005" s="8">
        <f>IF(F1005="ocorrência","VP",IF(F1005="sem ocorrência","FP",""))</f>
        <v/>
      </c>
      <c r="H1005" s="7" t="n"/>
      <c r="I1005" s="8">
        <f>IF(H1005&lt;&gt;"",H1005,G1005)</f>
        <v/>
      </c>
    </row>
    <row r="1006">
      <c r="A1006" s="9" t="n"/>
      <c r="B1006" s="9" t="n"/>
      <c r="C1006" s="9" t="n"/>
      <c r="D1006" s="9" t="n"/>
      <c r="E1006" s="9" t="n"/>
      <c r="F1006" s="8">
        <f>IF(A1006="","",IFERROR(INDEX(Testes!$N$2:$N$500,MATCH(A1006,Testes!$A$2:$A$500,0)),""))</f>
        <v/>
      </c>
      <c r="G1006" s="8">
        <f>IF(F1006="ocorrência","VP",IF(F1006="sem ocorrência","FP",""))</f>
        <v/>
      </c>
      <c r="H1006" s="7" t="n"/>
      <c r="I1006" s="8">
        <f>IF(H1006&lt;&gt;"",H1006,G1006)</f>
        <v/>
      </c>
    </row>
    <row r="1007">
      <c r="A1007" s="9" t="n"/>
      <c r="B1007" s="9" t="n"/>
      <c r="C1007" s="9" t="n"/>
      <c r="D1007" s="9" t="n"/>
      <c r="E1007" s="9" t="n"/>
      <c r="F1007" s="8">
        <f>IF(A1007="","",IFERROR(INDEX(Testes!$N$2:$N$500,MATCH(A1007,Testes!$A$2:$A$500,0)),""))</f>
        <v/>
      </c>
      <c r="G1007" s="8">
        <f>IF(F1007="ocorrência","VP",IF(F1007="sem ocorrência","FP",""))</f>
        <v/>
      </c>
      <c r="H1007" s="7" t="n"/>
      <c r="I1007" s="8">
        <f>IF(H1007&lt;&gt;"",H1007,G1007)</f>
        <v/>
      </c>
    </row>
    <row r="1008">
      <c r="A1008" s="9" t="n"/>
      <c r="B1008" s="9" t="n"/>
      <c r="C1008" s="9" t="n"/>
      <c r="D1008" s="9" t="n"/>
      <c r="E1008" s="9" t="n"/>
      <c r="F1008" s="8">
        <f>IF(A1008="","",IFERROR(INDEX(Testes!$N$2:$N$500,MATCH(A1008,Testes!$A$2:$A$500,0)),""))</f>
        <v/>
      </c>
      <c r="G1008" s="8">
        <f>IF(F1008="ocorrência","VP",IF(F1008="sem ocorrência","FP",""))</f>
        <v/>
      </c>
      <c r="H1008" s="7" t="n"/>
      <c r="I1008" s="8">
        <f>IF(H1008&lt;&gt;"",H1008,G1008)</f>
        <v/>
      </c>
    </row>
    <row r="1009">
      <c r="A1009" s="9" t="n"/>
      <c r="B1009" s="9" t="n"/>
      <c r="C1009" s="9" t="n"/>
      <c r="D1009" s="9" t="n"/>
      <c r="E1009" s="9" t="n"/>
      <c r="F1009" s="8">
        <f>IF(A1009="","",IFERROR(INDEX(Testes!$N$2:$N$500,MATCH(A1009,Testes!$A$2:$A$500,0)),""))</f>
        <v/>
      </c>
      <c r="G1009" s="8">
        <f>IF(F1009="ocorrência","VP",IF(F1009="sem ocorrência","FP",""))</f>
        <v/>
      </c>
      <c r="H1009" s="7" t="n"/>
      <c r="I1009" s="8">
        <f>IF(H1009&lt;&gt;"",H1009,G1009)</f>
        <v/>
      </c>
    </row>
    <row r="1010">
      <c r="A1010" s="9" t="n"/>
      <c r="B1010" s="9" t="n"/>
      <c r="C1010" s="9" t="n"/>
      <c r="D1010" s="9" t="n"/>
      <c r="E1010" s="9" t="n"/>
      <c r="F1010" s="8">
        <f>IF(A1010="","",IFERROR(INDEX(Testes!$N$2:$N$500,MATCH(A1010,Testes!$A$2:$A$500,0)),""))</f>
        <v/>
      </c>
      <c r="G1010" s="8">
        <f>IF(F1010="ocorrência","VP",IF(F1010="sem ocorrência","FP",""))</f>
        <v/>
      </c>
      <c r="H1010" s="7" t="n"/>
      <c r="I1010" s="8">
        <f>IF(H1010&lt;&gt;"",H1010,G1010)</f>
        <v/>
      </c>
    </row>
    <row r="1011">
      <c r="A1011" s="9" t="n"/>
      <c r="B1011" s="9" t="n"/>
      <c r="C1011" s="9" t="n"/>
      <c r="D1011" s="9" t="n"/>
      <c r="E1011" s="9" t="n"/>
      <c r="F1011" s="8">
        <f>IF(A1011="","",IFERROR(INDEX(Testes!$N$2:$N$500,MATCH(A1011,Testes!$A$2:$A$500,0)),""))</f>
        <v/>
      </c>
      <c r="G1011" s="8">
        <f>IF(F1011="ocorrência","VP",IF(F1011="sem ocorrência","FP",""))</f>
        <v/>
      </c>
      <c r="H1011" s="7" t="n"/>
      <c r="I1011" s="8">
        <f>IF(H1011&lt;&gt;"",H1011,G1011)</f>
        <v/>
      </c>
    </row>
    <row r="1012">
      <c r="A1012" s="9" t="n"/>
      <c r="B1012" s="9" t="n"/>
      <c r="C1012" s="9" t="n"/>
      <c r="D1012" s="9" t="n"/>
      <c r="E1012" s="9" t="n"/>
      <c r="F1012" s="8">
        <f>IF(A1012="","",IFERROR(INDEX(Testes!$N$2:$N$500,MATCH(A1012,Testes!$A$2:$A$500,0)),""))</f>
        <v/>
      </c>
      <c r="G1012" s="8">
        <f>IF(F1012="ocorrência","VP",IF(F1012="sem ocorrência","FP",""))</f>
        <v/>
      </c>
      <c r="H1012" s="7" t="n"/>
      <c r="I1012" s="8">
        <f>IF(H1012&lt;&gt;"",H1012,G1012)</f>
        <v/>
      </c>
    </row>
    <row r="1013">
      <c r="A1013" s="9" t="n"/>
      <c r="B1013" s="9" t="n"/>
      <c r="C1013" s="9" t="n"/>
      <c r="D1013" s="9" t="n"/>
      <c r="E1013" s="9" t="n"/>
      <c r="F1013" s="8">
        <f>IF(A1013="","",IFERROR(INDEX(Testes!$N$2:$N$500,MATCH(A1013,Testes!$A$2:$A$500,0)),""))</f>
        <v/>
      </c>
      <c r="G1013" s="8">
        <f>IF(F1013="ocorrência","VP",IF(F1013="sem ocorrência","FP",""))</f>
        <v/>
      </c>
      <c r="H1013" s="7" t="n"/>
      <c r="I1013" s="8">
        <f>IF(H1013&lt;&gt;"",H1013,G1013)</f>
        <v/>
      </c>
    </row>
    <row r="1014">
      <c r="A1014" s="9" t="n"/>
      <c r="B1014" s="9" t="n"/>
      <c r="C1014" s="9" t="n"/>
      <c r="D1014" s="9" t="n"/>
      <c r="E1014" s="9" t="n"/>
      <c r="F1014" s="8">
        <f>IF(A1014="","",IFERROR(INDEX(Testes!$N$2:$N$500,MATCH(A1014,Testes!$A$2:$A$500,0)),""))</f>
        <v/>
      </c>
      <c r="G1014" s="8">
        <f>IF(F1014="ocorrência","VP",IF(F1014="sem ocorrência","FP",""))</f>
        <v/>
      </c>
      <c r="H1014" s="7" t="n"/>
      <c r="I1014" s="8">
        <f>IF(H1014&lt;&gt;"",H1014,G1014)</f>
        <v/>
      </c>
    </row>
    <row r="1015">
      <c r="A1015" s="9" t="n"/>
      <c r="B1015" s="9" t="n"/>
      <c r="C1015" s="9" t="n"/>
      <c r="D1015" s="9" t="n"/>
      <c r="E1015" s="9" t="n"/>
      <c r="F1015" s="8">
        <f>IF(A1015="","",IFERROR(INDEX(Testes!$N$2:$N$500,MATCH(A1015,Testes!$A$2:$A$500,0)),""))</f>
        <v/>
      </c>
      <c r="G1015" s="8">
        <f>IF(F1015="ocorrência","VP",IF(F1015="sem ocorrência","FP",""))</f>
        <v/>
      </c>
      <c r="H1015" s="7" t="n"/>
      <c r="I1015" s="8">
        <f>IF(H1015&lt;&gt;"",H1015,G1015)</f>
        <v/>
      </c>
    </row>
    <row r="1016">
      <c r="A1016" s="9" t="n"/>
      <c r="B1016" s="9" t="n"/>
      <c r="C1016" s="9" t="n"/>
      <c r="D1016" s="9" t="n"/>
      <c r="E1016" s="9" t="n"/>
      <c r="F1016" s="8">
        <f>IF(A1016="","",IFERROR(INDEX(Testes!$N$2:$N$500,MATCH(A1016,Testes!$A$2:$A$500,0)),""))</f>
        <v/>
      </c>
      <c r="G1016" s="8">
        <f>IF(F1016="ocorrência","VP",IF(F1016="sem ocorrência","FP",""))</f>
        <v/>
      </c>
      <c r="H1016" s="7" t="n"/>
      <c r="I1016" s="8">
        <f>IF(H1016&lt;&gt;"",H1016,G1016)</f>
        <v/>
      </c>
    </row>
    <row r="1017">
      <c r="A1017" s="9" t="n"/>
      <c r="B1017" s="9" t="n"/>
      <c r="C1017" s="9" t="n"/>
      <c r="D1017" s="9" t="n"/>
      <c r="E1017" s="9" t="n"/>
      <c r="F1017" s="8">
        <f>IF(A1017="","",IFERROR(INDEX(Testes!$N$2:$N$500,MATCH(A1017,Testes!$A$2:$A$500,0)),""))</f>
        <v/>
      </c>
      <c r="G1017" s="8">
        <f>IF(F1017="ocorrência","VP",IF(F1017="sem ocorrência","FP",""))</f>
        <v/>
      </c>
      <c r="H1017" s="7" t="n"/>
      <c r="I1017" s="8">
        <f>IF(H1017&lt;&gt;"",H1017,G1017)</f>
        <v/>
      </c>
    </row>
    <row r="1018">
      <c r="A1018" s="9" t="n"/>
      <c r="B1018" s="9" t="n"/>
      <c r="C1018" s="9" t="n"/>
      <c r="D1018" s="9" t="n"/>
      <c r="E1018" s="9" t="n"/>
      <c r="F1018" s="8">
        <f>IF(A1018="","",IFERROR(INDEX(Testes!$N$2:$N$500,MATCH(A1018,Testes!$A$2:$A$500,0)),""))</f>
        <v/>
      </c>
      <c r="G1018" s="8">
        <f>IF(F1018="ocorrência","VP",IF(F1018="sem ocorrência","FP",""))</f>
        <v/>
      </c>
      <c r="H1018" s="7" t="n"/>
      <c r="I1018" s="8">
        <f>IF(H1018&lt;&gt;"",H1018,G1018)</f>
        <v/>
      </c>
    </row>
    <row r="1019">
      <c r="A1019" s="9" t="n"/>
      <c r="B1019" s="9" t="n"/>
      <c r="C1019" s="9" t="n"/>
      <c r="D1019" s="9" t="n"/>
      <c r="E1019" s="9" t="n"/>
      <c r="F1019" s="8">
        <f>IF(A1019="","",IFERROR(INDEX(Testes!$N$2:$N$500,MATCH(A1019,Testes!$A$2:$A$500,0)),""))</f>
        <v/>
      </c>
      <c r="G1019" s="8">
        <f>IF(F1019="ocorrência","VP",IF(F1019="sem ocorrência","FP",""))</f>
        <v/>
      </c>
      <c r="H1019" s="7" t="n"/>
      <c r="I1019" s="8">
        <f>IF(H1019&lt;&gt;"",H1019,G1019)</f>
        <v/>
      </c>
    </row>
    <row r="1020">
      <c r="A1020" s="9" t="n"/>
      <c r="B1020" s="9" t="n"/>
      <c r="C1020" s="9" t="n"/>
      <c r="D1020" s="9" t="n"/>
      <c r="E1020" s="9" t="n"/>
      <c r="F1020" s="8">
        <f>IF(A1020="","",IFERROR(INDEX(Testes!$N$2:$N$500,MATCH(A1020,Testes!$A$2:$A$500,0)),""))</f>
        <v/>
      </c>
      <c r="G1020" s="8">
        <f>IF(F1020="ocorrência","VP",IF(F1020="sem ocorrência","FP",""))</f>
        <v/>
      </c>
      <c r="H1020" s="7" t="n"/>
      <c r="I1020" s="8">
        <f>IF(H1020&lt;&gt;"",H1020,G1020)</f>
        <v/>
      </c>
    </row>
    <row r="1021">
      <c r="A1021" s="9" t="n"/>
      <c r="B1021" s="9" t="n"/>
      <c r="C1021" s="9" t="n"/>
      <c r="D1021" s="9" t="n"/>
      <c r="E1021" s="9" t="n"/>
      <c r="F1021" s="8">
        <f>IF(A1021="","",IFERROR(INDEX(Testes!$N$2:$N$500,MATCH(A1021,Testes!$A$2:$A$500,0)),""))</f>
        <v/>
      </c>
      <c r="G1021" s="8">
        <f>IF(F1021="ocorrência","VP",IF(F1021="sem ocorrência","FP",""))</f>
        <v/>
      </c>
      <c r="H1021" s="7" t="n"/>
      <c r="I1021" s="8">
        <f>IF(H1021&lt;&gt;"",H1021,G1021)</f>
        <v/>
      </c>
    </row>
    <row r="1022">
      <c r="A1022" s="9" t="n"/>
      <c r="B1022" s="9" t="n"/>
      <c r="C1022" s="9" t="n"/>
      <c r="D1022" s="9" t="n"/>
      <c r="E1022" s="9" t="n"/>
      <c r="F1022" s="8">
        <f>IF(A1022="","",IFERROR(INDEX(Testes!$N$2:$N$500,MATCH(A1022,Testes!$A$2:$A$500,0)),""))</f>
        <v/>
      </c>
      <c r="G1022" s="8">
        <f>IF(F1022="ocorrência","VP",IF(F1022="sem ocorrência","FP",""))</f>
        <v/>
      </c>
      <c r="H1022" s="7" t="n"/>
      <c r="I1022" s="8">
        <f>IF(H1022&lt;&gt;"",H1022,G1022)</f>
        <v/>
      </c>
    </row>
    <row r="1023">
      <c r="A1023" s="9" t="n"/>
      <c r="B1023" s="9" t="n"/>
      <c r="C1023" s="9" t="n"/>
      <c r="D1023" s="9" t="n"/>
      <c r="E1023" s="9" t="n"/>
      <c r="F1023" s="8">
        <f>IF(A1023="","",IFERROR(INDEX(Testes!$N$2:$N$500,MATCH(A1023,Testes!$A$2:$A$500,0)),""))</f>
        <v/>
      </c>
      <c r="G1023" s="8">
        <f>IF(F1023="ocorrência","VP",IF(F1023="sem ocorrência","FP",""))</f>
        <v/>
      </c>
      <c r="H1023" s="7" t="n"/>
      <c r="I1023" s="8">
        <f>IF(H1023&lt;&gt;"",H1023,G1023)</f>
        <v/>
      </c>
    </row>
    <row r="1024">
      <c r="A1024" s="9" t="n"/>
      <c r="B1024" s="9" t="n"/>
      <c r="C1024" s="9" t="n"/>
      <c r="D1024" s="9" t="n"/>
      <c r="E1024" s="9" t="n"/>
      <c r="F1024" s="8">
        <f>IF(A1024="","",IFERROR(INDEX(Testes!$N$2:$N$500,MATCH(A1024,Testes!$A$2:$A$500,0)),""))</f>
        <v/>
      </c>
      <c r="G1024" s="8">
        <f>IF(F1024="ocorrência","VP",IF(F1024="sem ocorrência","FP",""))</f>
        <v/>
      </c>
      <c r="H1024" s="7" t="n"/>
      <c r="I1024" s="8">
        <f>IF(H1024&lt;&gt;"",H1024,G1024)</f>
        <v/>
      </c>
    </row>
    <row r="1025">
      <c r="A1025" s="9" t="n"/>
      <c r="B1025" s="9" t="n"/>
      <c r="C1025" s="9" t="n"/>
      <c r="D1025" s="9" t="n"/>
      <c r="E1025" s="9" t="n"/>
      <c r="F1025" s="8">
        <f>IF(A1025="","",IFERROR(INDEX(Testes!$N$2:$N$500,MATCH(A1025,Testes!$A$2:$A$500,0)),""))</f>
        <v/>
      </c>
      <c r="G1025" s="8">
        <f>IF(F1025="ocorrência","VP",IF(F1025="sem ocorrência","FP",""))</f>
        <v/>
      </c>
      <c r="H1025" s="7" t="n"/>
      <c r="I1025" s="8">
        <f>IF(H1025&lt;&gt;"",H1025,G1025)</f>
        <v/>
      </c>
    </row>
    <row r="1026">
      <c r="A1026" s="9" t="n"/>
      <c r="B1026" s="9" t="n"/>
      <c r="C1026" s="9" t="n"/>
      <c r="D1026" s="9" t="n"/>
      <c r="E1026" s="9" t="n"/>
      <c r="F1026" s="8">
        <f>IF(A1026="","",IFERROR(INDEX(Testes!$N$2:$N$500,MATCH(A1026,Testes!$A$2:$A$500,0)),""))</f>
        <v/>
      </c>
      <c r="G1026" s="8">
        <f>IF(F1026="ocorrência","VP",IF(F1026="sem ocorrência","FP",""))</f>
        <v/>
      </c>
      <c r="H1026" s="7" t="n"/>
      <c r="I1026" s="8">
        <f>IF(H1026&lt;&gt;"",H1026,G1026)</f>
        <v/>
      </c>
    </row>
    <row r="1027">
      <c r="A1027" s="9" t="n"/>
      <c r="B1027" s="9" t="n"/>
      <c r="C1027" s="9" t="n"/>
      <c r="D1027" s="9" t="n"/>
      <c r="E1027" s="9" t="n"/>
      <c r="F1027" s="8">
        <f>IF(A1027="","",IFERROR(INDEX(Testes!$N$2:$N$500,MATCH(A1027,Testes!$A$2:$A$500,0)),""))</f>
        <v/>
      </c>
      <c r="G1027" s="8">
        <f>IF(F1027="ocorrência","VP",IF(F1027="sem ocorrência","FP",""))</f>
        <v/>
      </c>
      <c r="H1027" s="7" t="n"/>
      <c r="I1027" s="8">
        <f>IF(H1027&lt;&gt;"",H1027,G1027)</f>
        <v/>
      </c>
    </row>
    <row r="1028">
      <c r="A1028" s="9" t="n"/>
      <c r="B1028" s="9" t="n"/>
      <c r="C1028" s="9" t="n"/>
      <c r="D1028" s="9" t="n"/>
      <c r="E1028" s="9" t="n"/>
      <c r="F1028" s="8">
        <f>IF(A1028="","",IFERROR(INDEX(Testes!$N$2:$N$500,MATCH(A1028,Testes!$A$2:$A$500,0)),""))</f>
        <v/>
      </c>
      <c r="G1028" s="8">
        <f>IF(F1028="ocorrência","VP",IF(F1028="sem ocorrência","FP",""))</f>
        <v/>
      </c>
      <c r="H1028" s="7" t="n"/>
      <c r="I1028" s="8">
        <f>IF(H1028&lt;&gt;"",H1028,G1028)</f>
        <v/>
      </c>
    </row>
    <row r="1029">
      <c r="A1029" s="9" t="n"/>
      <c r="B1029" s="9" t="n"/>
      <c r="C1029" s="9" t="n"/>
      <c r="D1029" s="9" t="n"/>
      <c r="E1029" s="9" t="n"/>
      <c r="F1029" s="8">
        <f>IF(A1029="","",IFERROR(INDEX(Testes!$N$2:$N$500,MATCH(A1029,Testes!$A$2:$A$500,0)),""))</f>
        <v/>
      </c>
      <c r="G1029" s="8">
        <f>IF(F1029="ocorrência","VP",IF(F1029="sem ocorrência","FP",""))</f>
        <v/>
      </c>
      <c r="H1029" s="7" t="n"/>
      <c r="I1029" s="8">
        <f>IF(H1029&lt;&gt;"",H1029,G1029)</f>
        <v/>
      </c>
    </row>
    <row r="1030">
      <c r="A1030" s="9" t="n"/>
      <c r="B1030" s="9" t="n"/>
      <c r="C1030" s="9" t="n"/>
      <c r="D1030" s="9" t="n"/>
      <c r="E1030" s="9" t="n"/>
      <c r="F1030" s="8">
        <f>IF(A1030="","",IFERROR(INDEX(Testes!$N$2:$N$500,MATCH(A1030,Testes!$A$2:$A$500,0)),""))</f>
        <v/>
      </c>
      <c r="G1030" s="8">
        <f>IF(F1030="ocorrência","VP",IF(F1030="sem ocorrência","FP",""))</f>
        <v/>
      </c>
      <c r="H1030" s="7" t="n"/>
      <c r="I1030" s="8">
        <f>IF(H1030&lt;&gt;"",H1030,G1030)</f>
        <v/>
      </c>
    </row>
    <row r="1031">
      <c r="A1031" s="9" t="n"/>
      <c r="B1031" s="9" t="n"/>
      <c r="C1031" s="9" t="n"/>
      <c r="D1031" s="9" t="n"/>
      <c r="E1031" s="9" t="n"/>
      <c r="F1031" s="8">
        <f>IF(A1031="","",IFERROR(INDEX(Testes!$N$2:$N$500,MATCH(A1031,Testes!$A$2:$A$500,0)),""))</f>
        <v/>
      </c>
      <c r="G1031" s="8">
        <f>IF(F1031="ocorrência","VP",IF(F1031="sem ocorrência","FP",""))</f>
        <v/>
      </c>
      <c r="H1031" s="7" t="n"/>
      <c r="I1031" s="8">
        <f>IF(H1031&lt;&gt;"",H1031,G1031)</f>
        <v/>
      </c>
    </row>
    <row r="1032">
      <c r="A1032" s="9" t="n"/>
      <c r="B1032" s="9" t="n"/>
      <c r="C1032" s="9" t="n"/>
      <c r="D1032" s="9" t="n"/>
      <c r="E1032" s="9" t="n"/>
      <c r="F1032" s="8">
        <f>IF(A1032="","",IFERROR(INDEX(Testes!$N$2:$N$500,MATCH(A1032,Testes!$A$2:$A$500,0)),""))</f>
        <v/>
      </c>
      <c r="G1032" s="8">
        <f>IF(F1032="ocorrência","VP",IF(F1032="sem ocorrência","FP",""))</f>
        <v/>
      </c>
      <c r="H1032" s="7" t="n"/>
      <c r="I1032" s="8">
        <f>IF(H1032&lt;&gt;"",H1032,G1032)</f>
        <v/>
      </c>
    </row>
    <row r="1033">
      <c r="A1033" s="9" t="n"/>
      <c r="B1033" s="9" t="n"/>
      <c r="C1033" s="9" t="n"/>
      <c r="D1033" s="9" t="n"/>
      <c r="E1033" s="9" t="n"/>
      <c r="F1033" s="8">
        <f>IF(A1033="","",IFERROR(INDEX(Testes!$N$2:$N$500,MATCH(A1033,Testes!$A$2:$A$500,0)),""))</f>
        <v/>
      </c>
      <c r="G1033" s="8">
        <f>IF(F1033="ocorrência","VP",IF(F1033="sem ocorrência","FP",""))</f>
        <v/>
      </c>
      <c r="H1033" s="7" t="n"/>
      <c r="I1033" s="8">
        <f>IF(H1033&lt;&gt;"",H1033,G1033)</f>
        <v/>
      </c>
    </row>
    <row r="1034">
      <c r="A1034" s="9" t="n"/>
      <c r="B1034" s="9" t="n"/>
      <c r="C1034" s="9" t="n"/>
      <c r="D1034" s="9" t="n"/>
      <c r="E1034" s="9" t="n"/>
      <c r="F1034" s="8">
        <f>IF(A1034="","",IFERROR(INDEX(Testes!$N$2:$N$500,MATCH(A1034,Testes!$A$2:$A$500,0)),""))</f>
        <v/>
      </c>
      <c r="G1034" s="8">
        <f>IF(F1034="ocorrência","VP",IF(F1034="sem ocorrência","FP",""))</f>
        <v/>
      </c>
      <c r="H1034" s="7" t="n"/>
      <c r="I1034" s="8">
        <f>IF(H1034&lt;&gt;"",H1034,G1034)</f>
        <v/>
      </c>
    </row>
    <row r="1035">
      <c r="A1035" s="9" t="n"/>
      <c r="B1035" s="9" t="n"/>
      <c r="C1035" s="9" t="n"/>
      <c r="D1035" s="9" t="n"/>
      <c r="E1035" s="9" t="n"/>
      <c r="F1035" s="8">
        <f>IF(A1035="","",IFERROR(INDEX(Testes!$N$2:$N$500,MATCH(A1035,Testes!$A$2:$A$500,0)),""))</f>
        <v/>
      </c>
      <c r="G1035" s="8">
        <f>IF(F1035="ocorrência","VP",IF(F1035="sem ocorrência","FP",""))</f>
        <v/>
      </c>
      <c r="H1035" s="7" t="n"/>
      <c r="I1035" s="8">
        <f>IF(H1035&lt;&gt;"",H1035,G1035)</f>
        <v/>
      </c>
    </row>
    <row r="1036">
      <c r="A1036" s="9" t="n"/>
      <c r="B1036" s="9" t="n"/>
      <c r="C1036" s="9" t="n"/>
      <c r="D1036" s="9" t="n"/>
      <c r="E1036" s="9" t="n"/>
      <c r="F1036" s="8">
        <f>IF(A1036="","",IFERROR(INDEX(Testes!$N$2:$N$500,MATCH(A1036,Testes!$A$2:$A$500,0)),""))</f>
        <v/>
      </c>
      <c r="G1036" s="8">
        <f>IF(F1036="ocorrência","VP",IF(F1036="sem ocorrência","FP",""))</f>
        <v/>
      </c>
      <c r="H1036" s="7" t="n"/>
      <c r="I1036" s="8">
        <f>IF(H1036&lt;&gt;"",H1036,G1036)</f>
        <v/>
      </c>
    </row>
    <row r="1037">
      <c r="A1037" s="9" t="n"/>
      <c r="B1037" s="9" t="n"/>
      <c r="C1037" s="9" t="n"/>
      <c r="D1037" s="9" t="n"/>
      <c r="E1037" s="9" t="n"/>
      <c r="F1037" s="8">
        <f>IF(A1037="","",IFERROR(INDEX(Testes!$N$2:$N$500,MATCH(A1037,Testes!$A$2:$A$500,0)),""))</f>
        <v/>
      </c>
      <c r="G1037" s="8">
        <f>IF(F1037="ocorrência","VP",IF(F1037="sem ocorrência","FP",""))</f>
        <v/>
      </c>
      <c r="H1037" s="7" t="n"/>
      <c r="I1037" s="8">
        <f>IF(H1037&lt;&gt;"",H1037,G1037)</f>
        <v/>
      </c>
    </row>
    <row r="1038">
      <c r="A1038" s="9" t="n"/>
      <c r="B1038" s="9" t="n"/>
      <c r="C1038" s="9" t="n"/>
      <c r="D1038" s="9" t="n"/>
      <c r="E1038" s="9" t="n"/>
      <c r="F1038" s="8">
        <f>IF(A1038="","",IFERROR(INDEX(Testes!$N$2:$N$500,MATCH(A1038,Testes!$A$2:$A$500,0)),""))</f>
        <v/>
      </c>
      <c r="G1038" s="8">
        <f>IF(F1038="ocorrência","VP",IF(F1038="sem ocorrência","FP",""))</f>
        <v/>
      </c>
      <c r="H1038" s="7" t="n"/>
      <c r="I1038" s="8">
        <f>IF(H1038&lt;&gt;"",H1038,G1038)</f>
        <v/>
      </c>
    </row>
    <row r="1039">
      <c r="A1039" s="9" t="n"/>
      <c r="B1039" s="9" t="n"/>
      <c r="C1039" s="9" t="n"/>
      <c r="D1039" s="9" t="n"/>
      <c r="E1039" s="9" t="n"/>
      <c r="F1039" s="8">
        <f>IF(A1039="","",IFERROR(INDEX(Testes!$N$2:$N$500,MATCH(A1039,Testes!$A$2:$A$500,0)),""))</f>
        <v/>
      </c>
      <c r="G1039" s="8">
        <f>IF(F1039="ocorrência","VP",IF(F1039="sem ocorrência","FP",""))</f>
        <v/>
      </c>
      <c r="H1039" s="7" t="n"/>
      <c r="I1039" s="8">
        <f>IF(H1039&lt;&gt;"",H1039,G1039)</f>
        <v/>
      </c>
    </row>
    <row r="1040">
      <c r="A1040" s="9" t="n"/>
      <c r="B1040" s="9" t="n"/>
      <c r="C1040" s="9" t="n"/>
      <c r="D1040" s="9" t="n"/>
      <c r="E1040" s="9" t="n"/>
      <c r="F1040" s="8">
        <f>IF(A1040="","",IFERROR(INDEX(Testes!$N$2:$N$500,MATCH(A1040,Testes!$A$2:$A$500,0)),""))</f>
        <v/>
      </c>
      <c r="G1040" s="8">
        <f>IF(F1040="ocorrência","VP",IF(F1040="sem ocorrência","FP",""))</f>
        <v/>
      </c>
      <c r="H1040" s="7" t="n"/>
      <c r="I1040" s="8">
        <f>IF(H1040&lt;&gt;"",H1040,G1040)</f>
        <v/>
      </c>
    </row>
    <row r="1041">
      <c r="A1041" s="9" t="n"/>
      <c r="B1041" s="9" t="n"/>
      <c r="C1041" s="9" t="n"/>
      <c r="D1041" s="9" t="n"/>
      <c r="E1041" s="9" t="n"/>
      <c r="F1041" s="8">
        <f>IF(A1041="","",IFERROR(INDEX(Testes!$N$2:$N$500,MATCH(A1041,Testes!$A$2:$A$500,0)),""))</f>
        <v/>
      </c>
      <c r="G1041" s="8">
        <f>IF(F1041="ocorrência","VP",IF(F1041="sem ocorrência","FP",""))</f>
        <v/>
      </c>
      <c r="H1041" s="7" t="n"/>
      <c r="I1041" s="8">
        <f>IF(H1041&lt;&gt;"",H1041,G1041)</f>
        <v/>
      </c>
    </row>
    <row r="1042">
      <c r="A1042" s="9" t="n"/>
      <c r="B1042" s="9" t="n"/>
      <c r="C1042" s="9" t="n"/>
      <c r="D1042" s="9" t="n"/>
      <c r="E1042" s="9" t="n"/>
      <c r="F1042" s="8">
        <f>IF(A1042="","",IFERROR(INDEX(Testes!$N$2:$N$500,MATCH(A1042,Testes!$A$2:$A$500,0)),""))</f>
        <v/>
      </c>
      <c r="G1042" s="8">
        <f>IF(F1042="ocorrência","VP",IF(F1042="sem ocorrência","FP",""))</f>
        <v/>
      </c>
      <c r="H1042" s="7" t="n"/>
      <c r="I1042" s="8">
        <f>IF(H1042&lt;&gt;"",H1042,G1042)</f>
        <v/>
      </c>
    </row>
    <row r="1043">
      <c r="A1043" s="9" t="n"/>
      <c r="B1043" s="9" t="n"/>
      <c r="C1043" s="9" t="n"/>
      <c r="D1043" s="9" t="n"/>
      <c r="E1043" s="9" t="n"/>
      <c r="F1043" s="8">
        <f>IF(A1043="","",IFERROR(INDEX(Testes!$N$2:$N$500,MATCH(A1043,Testes!$A$2:$A$500,0)),""))</f>
        <v/>
      </c>
      <c r="G1043" s="8">
        <f>IF(F1043="ocorrência","VP",IF(F1043="sem ocorrência","FP",""))</f>
        <v/>
      </c>
      <c r="H1043" s="7" t="n"/>
      <c r="I1043" s="8">
        <f>IF(H1043&lt;&gt;"",H1043,G1043)</f>
        <v/>
      </c>
    </row>
    <row r="1044">
      <c r="A1044" s="9" t="n"/>
      <c r="B1044" s="9" t="n"/>
      <c r="C1044" s="9" t="n"/>
      <c r="D1044" s="9" t="n"/>
      <c r="E1044" s="9" t="n"/>
      <c r="F1044" s="8">
        <f>IF(A1044="","",IFERROR(INDEX(Testes!$N$2:$N$500,MATCH(A1044,Testes!$A$2:$A$500,0)),""))</f>
        <v/>
      </c>
      <c r="G1044" s="8">
        <f>IF(F1044="ocorrência","VP",IF(F1044="sem ocorrência","FP",""))</f>
        <v/>
      </c>
      <c r="H1044" s="7" t="n"/>
      <c r="I1044" s="8">
        <f>IF(H1044&lt;&gt;"",H1044,G1044)</f>
        <v/>
      </c>
    </row>
    <row r="1045">
      <c r="A1045" s="9" t="n"/>
      <c r="B1045" s="9" t="n"/>
      <c r="C1045" s="9" t="n"/>
      <c r="D1045" s="9" t="n"/>
      <c r="E1045" s="9" t="n"/>
      <c r="F1045" s="8">
        <f>IF(A1045="","",IFERROR(INDEX(Testes!$N$2:$N$500,MATCH(A1045,Testes!$A$2:$A$500,0)),""))</f>
        <v/>
      </c>
      <c r="G1045" s="8">
        <f>IF(F1045="ocorrência","VP",IF(F1045="sem ocorrência","FP",""))</f>
        <v/>
      </c>
      <c r="H1045" s="7" t="n"/>
      <c r="I1045" s="8">
        <f>IF(H1045&lt;&gt;"",H1045,G1045)</f>
        <v/>
      </c>
    </row>
    <row r="1046">
      <c r="A1046" s="9" t="n"/>
      <c r="B1046" s="9" t="n"/>
      <c r="C1046" s="9" t="n"/>
      <c r="D1046" s="9" t="n"/>
      <c r="E1046" s="9" t="n"/>
      <c r="F1046" s="8">
        <f>IF(A1046="","",IFERROR(INDEX(Testes!$N$2:$N$500,MATCH(A1046,Testes!$A$2:$A$500,0)),""))</f>
        <v/>
      </c>
      <c r="G1046" s="8">
        <f>IF(F1046="ocorrência","VP",IF(F1046="sem ocorrência","FP",""))</f>
        <v/>
      </c>
      <c r="H1046" s="7" t="n"/>
      <c r="I1046" s="8">
        <f>IF(H1046&lt;&gt;"",H1046,G1046)</f>
        <v/>
      </c>
    </row>
    <row r="1047">
      <c r="A1047" s="9" t="n"/>
      <c r="B1047" s="9" t="n"/>
      <c r="C1047" s="9" t="n"/>
      <c r="D1047" s="9" t="n"/>
      <c r="E1047" s="9" t="n"/>
      <c r="F1047" s="8">
        <f>IF(A1047="","",IFERROR(INDEX(Testes!$N$2:$N$500,MATCH(A1047,Testes!$A$2:$A$500,0)),""))</f>
        <v/>
      </c>
      <c r="G1047" s="8">
        <f>IF(F1047="ocorrência","VP",IF(F1047="sem ocorrência","FP",""))</f>
        <v/>
      </c>
      <c r="H1047" s="7" t="n"/>
      <c r="I1047" s="8">
        <f>IF(H1047&lt;&gt;"",H1047,G1047)</f>
        <v/>
      </c>
    </row>
    <row r="1048">
      <c r="A1048" s="9" t="n"/>
      <c r="B1048" s="9" t="n"/>
      <c r="C1048" s="9" t="n"/>
      <c r="D1048" s="9" t="n"/>
      <c r="E1048" s="9" t="n"/>
      <c r="F1048" s="8">
        <f>IF(A1048="","",IFERROR(INDEX(Testes!$N$2:$N$500,MATCH(A1048,Testes!$A$2:$A$500,0)),""))</f>
        <v/>
      </c>
      <c r="G1048" s="8">
        <f>IF(F1048="ocorrência","VP",IF(F1048="sem ocorrência","FP",""))</f>
        <v/>
      </c>
      <c r="H1048" s="7" t="n"/>
      <c r="I1048" s="8">
        <f>IF(H1048&lt;&gt;"",H1048,G1048)</f>
        <v/>
      </c>
    </row>
    <row r="1049">
      <c r="A1049" s="9" t="n"/>
      <c r="B1049" s="9" t="n"/>
      <c r="C1049" s="9" t="n"/>
      <c r="D1049" s="9" t="n"/>
      <c r="E1049" s="9" t="n"/>
      <c r="F1049" s="8">
        <f>IF(A1049="","",IFERROR(INDEX(Testes!$N$2:$N$500,MATCH(A1049,Testes!$A$2:$A$500,0)),""))</f>
        <v/>
      </c>
      <c r="G1049" s="8">
        <f>IF(F1049="ocorrência","VP",IF(F1049="sem ocorrência","FP",""))</f>
        <v/>
      </c>
      <c r="H1049" s="7" t="n"/>
      <c r="I1049" s="8">
        <f>IF(H1049&lt;&gt;"",H1049,G1049)</f>
        <v/>
      </c>
    </row>
    <row r="1050">
      <c r="A1050" s="9" t="n"/>
      <c r="B1050" s="9" t="n"/>
      <c r="C1050" s="9" t="n"/>
      <c r="D1050" s="9" t="n"/>
      <c r="E1050" s="9" t="n"/>
      <c r="F1050" s="8">
        <f>IF(A1050="","",IFERROR(INDEX(Testes!$N$2:$N$500,MATCH(A1050,Testes!$A$2:$A$500,0)),""))</f>
        <v/>
      </c>
      <c r="G1050" s="8">
        <f>IF(F1050="ocorrência","VP",IF(F1050="sem ocorrência","FP",""))</f>
        <v/>
      </c>
      <c r="H1050" s="7" t="n"/>
      <c r="I1050" s="8">
        <f>IF(H1050&lt;&gt;"",H1050,G1050)</f>
        <v/>
      </c>
    </row>
    <row r="1051">
      <c r="A1051" s="9" t="n"/>
      <c r="B1051" s="9" t="n"/>
      <c r="C1051" s="9" t="n"/>
      <c r="D1051" s="9" t="n"/>
      <c r="E1051" s="9" t="n"/>
      <c r="F1051" s="8">
        <f>IF(A1051="","",IFERROR(INDEX(Testes!$N$2:$N$500,MATCH(A1051,Testes!$A$2:$A$500,0)),""))</f>
        <v/>
      </c>
      <c r="G1051" s="8">
        <f>IF(F1051="ocorrência","VP",IF(F1051="sem ocorrência","FP",""))</f>
        <v/>
      </c>
      <c r="H1051" s="7" t="n"/>
      <c r="I1051" s="8">
        <f>IF(H1051&lt;&gt;"",H1051,G1051)</f>
        <v/>
      </c>
    </row>
    <row r="1052">
      <c r="A1052" s="9" t="n"/>
      <c r="B1052" s="9" t="n"/>
      <c r="C1052" s="9" t="n"/>
      <c r="D1052" s="9" t="n"/>
      <c r="E1052" s="9" t="n"/>
      <c r="F1052" s="8">
        <f>IF(A1052="","",IFERROR(INDEX(Testes!$N$2:$N$500,MATCH(A1052,Testes!$A$2:$A$500,0)),""))</f>
        <v/>
      </c>
      <c r="G1052" s="8">
        <f>IF(F1052="ocorrência","VP",IF(F1052="sem ocorrência","FP",""))</f>
        <v/>
      </c>
      <c r="H1052" s="7" t="n"/>
      <c r="I1052" s="8">
        <f>IF(H1052&lt;&gt;"",H1052,G1052)</f>
        <v/>
      </c>
    </row>
    <row r="1053">
      <c r="A1053" s="9" t="n"/>
      <c r="B1053" s="9" t="n"/>
      <c r="C1053" s="9" t="n"/>
      <c r="D1053" s="9" t="n"/>
      <c r="E1053" s="9" t="n"/>
      <c r="F1053" s="8">
        <f>IF(A1053="","",IFERROR(INDEX(Testes!$N$2:$N$500,MATCH(A1053,Testes!$A$2:$A$500,0)),""))</f>
        <v/>
      </c>
      <c r="G1053" s="8">
        <f>IF(F1053="ocorrência","VP",IF(F1053="sem ocorrência","FP",""))</f>
        <v/>
      </c>
      <c r="H1053" s="7" t="n"/>
      <c r="I1053" s="8">
        <f>IF(H1053&lt;&gt;"",H1053,G1053)</f>
        <v/>
      </c>
    </row>
    <row r="1054">
      <c r="A1054" s="9" t="n"/>
      <c r="B1054" s="9" t="n"/>
      <c r="C1054" s="9" t="n"/>
      <c r="D1054" s="9" t="n"/>
      <c r="E1054" s="9" t="n"/>
      <c r="F1054" s="8">
        <f>IF(A1054="","",IFERROR(INDEX(Testes!$N$2:$N$500,MATCH(A1054,Testes!$A$2:$A$500,0)),""))</f>
        <v/>
      </c>
      <c r="G1054" s="8">
        <f>IF(F1054="ocorrência","VP",IF(F1054="sem ocorrência","FP",""))</f>
        <v/>
      </c>
      <c r="H1054" s="7" t="n"/>
      <c r="I1054" s="8">
        <f>IF(H1054&lt;&gt;"",H1054,G1054)</f>
        <v/>
      </c>
    </row>
    <row r="1055">
      <c r="A1055" s="9" t="n"/>
      <c r="B1055" s="9" t="n"/>
      <c r="C1055" s="9" t="n"/>
      <c r="D1055" s="9" t="n"/>
      <c r="E1055" s="9" t="n"/>
      <c r="F1055" s="8">
        <f>IF(A1055="","",IFERROR(INDEX(Testes!$N$2:$N$500,MATCH(A1055,Testes!$A$2:$A$500,0)),""))</f>
        <v/>
      </c>
      <c r="G1055" s="8">
        <f>IF(F1055="ocorrência","VP",IF(F1055="sem ocorrência","FP",""))</f>
        <v/>
      </c>
      <c r="H1055" s="7" t="n"/>
      <c r="I1055" s="8">
        <f>IF(H1055&lt;&gt;"",H1055,G1055)</f>
        <v/>
      </c>
    </row>
    <row r="1056">
      <c r="A1056" s="9" t="n"/>
      <c r="B1056" s="9" t="n"/>
      <c r="C1056" s="9" t="n"/>
      <c r="D1056" s="9" t="n"/>
      <c r="E1056" s="9" t="n"/>
      <c r="F1056" s="8">
        <f>IF(A1056="","",IFERROR(INDEX(Testes!$N$2:$N$500,MATCH(A1056,Testes!$A$2:$A$500,0)),""))</f>
        <v/>
      </c>
      <c r="G1056" s="8">
        <f>IF(F1056="ocorrência","VP",IF(F1056="sem ocorrência","FP",""))</f>
        <v/>
      </c>
      <c r="H1056" s="7" t="n"/>
      <c r="I1056" s="8">
        <f>IF(H1056&lt;&gt;"",H1056,G1056)</f>
        <v/>
      </c>
    </row>
    <row r="1057">
      <c r="A1057" s="9" t="n"/>
      <c r="B1057" s="9" t="n"/>
      <c r="C1057" s="9" t="n"/>
      <c r="D1057" s="9" t="n"/>
      <c r="E1057" s="9" t="n"/>
      <c r="F1057" s="8">
        <f>IF(A1057="","",IFERROR(INDEX(Testes!$N$2:$N$500,MATCH(A1057,Testes!$A$2:$A$500,0)),""))</f>
        <v/>
      </c>
      <c r="G1057" s="8">
        <f>IF(F1057="ocorrência","VP",IF(F1057="sem ocorrência","FP",""))</f>
        <v/>
      </c>
      <c r="H1057" s="7" t="n"/>
      <c r="I1057" s="8">
        <f>IF(H1057&lt;&gt;"",H1057,G1057)</f>
        <v/>
      </c>
    </row>
    <row r="1058">
      <c r="A1058" s="9" t="n"/>
      <c r="B1058" s="9" t="n"/>
      <c r="C1058" s="9" t="n"/>
      <c r="D1058" s="9" t="n"/>
      <c r="E1058" s="9" t="n"/>
      <c r="F1058" s="8">
        <f>IF(A1058="","",IFERROR(INDEX(Testes!$N$2:$N$500,MATCH(A1058,Testes!$A$2:$A$500,0)),""))</f>
        <v/>
      </c>
      <c r="G1058" s="8">
        <f>IF(F1058="ocorrência","VP",IF(F1058="sem ocorrência","FP",""))</f>
        <v/>
      </c>
      <c r="H1058" s="7" t="n"/>
      <c r="I1058" s="8">
        <f>IF(H1058&lt;&gt;"",H1058,G1058)</f>
        <v/>
      </c>
    </row>
    <row r="1059">
      <c r="A1059" s="9" t="n"/>
      <c r="B1059" s="9" t="n"/>
      <c r="C1059" s="9" t="n"/>
      <c r="D1059" s="9" t="n"/>
      <c r="E1059" s="9" t="n"/>
      <c r="F1059" s="8">
        <f>IF(A1059="","",IFERROR(INDEX(Testes!$N$2:$N$500,MATCH(A1059,Testes!$A$2:$A$500,0)),""))</f>
        <v/>
      </c>
      <c r="G1059" s="8">
        <f>IF(F1059="ocorrência","VP",IF(F1059="sem ocorrência","FP",""))</f>
        <v/>
      </c>
      <c r="H1059" s="7" t="n"/>
      <c r="I1059" s="8">
        <f>IF(H1059&lt;&gt;"",H1059,G1059)</f>
        <v/>
      </c>
    </row>
    <row r="1060">
      <c r="A1060" s="9" t="n"/>
      <c r="B1060" s="9" t="n"/>
      <c r="C1060" s="9" t="n"/>
      <c r="D1060" s="9" t="n"/>
      <c r="E1060" s="9" t="n"/>
      <c r="F1060" s="8">
        <f>IF(A1060="","",IFERROR(INDEX(Testes!$N$2:$N$500,MATCH(A1060,Testes!$A$2:$A$500,0)),""))</f>
        <v/>
      </c>
      <c r="G1060" s="8">
        <f>IF(F1060="ocorrência","VP",IF(F1060="sem ocorrência","FP",""))</f>
        <v/>
      </c>
      <c r="H1060" s="7" t="n"/>
      <c r="I1060" s="8">
        <f>IF(H1060&lt;&gt;"",H1060,G1060)</f>
        <v/>
      </c>
    </row>
    <row r="1061">
      <c r="A1061" s="9" t="n"/>
      <c r="B1061" s="9" t="n"/>
      <c r="C1061" s="9" t="n"/>
      <c r="D1061" s="9" t="n"/>
      <c r="E1061" s="9" t="n"/>
      <c r="F1061" s="8">
        <f>IF(A1061="","",IFERROR(INDEX(Testes!$N$2:$N$500,MATCH(A1061,Testes!$A$2:$A$500,0)),""))</f>
        <v/>
      </c>
      <c r="G1061" s="8">
        <f>IF(F1061="ocorrência","VP",IF(F1061="sem ocorrência","FP",""))</f>
        <v/>
      </c>
      <c r="H1061" s="7" t="n"/>
      <c r="I1061" s="8">
        <f>IF(H1061&lt;&gt;"",H1061,G1061)</f>
        <v/>
      </c>
    </row>
    <row r="1062">
      <c r="A1062" s="9" t="n"/>
      <c r="B1062" s="9" t="n"/>
      <c r="C1062" s="9" t="n"/>
      <c r="D1062" s="9" t="n"/>
      <c r="E1062" s="9" t="n"/>
      <c r="F1062" s="8">
        <f>IF(A1062="","",IFERROR(INDEX(Testes!$N$2:$N$500,MATCH(A1062,Testes!$A$2:$A$500,0)),""))</f>
        <v/>
      </c>
      <c r="G1062" s="8">
        <f>IF(F1062="ocorrência","VP",IF(F1062="sem ocorrência","FP",""))</f>
        <v/>
      </c>
      <c r="H1062" s="7" t="n"/>
      <c r="I1062" s="8">
        <f>IF(H1062&lt;&gt;"",H1062,G1062)</f>
        <v/>
      </c>
    </row>
    <row r="1063">
      <c r="A1063" s="9" t="n"/>
      <c r="B1063" s="9" t="n"/>
      <c r="C1063" s="9" t="n"/>
      <c r="D1063" s="9" t="n"/>
      <c r="E1063" s="9" t="n"/>
      <c r="F1063" s="8">
        <f>IF(A1063="","",IFERROR(INDEX(Testes!$N$2:$N$500,MATCH(A1063,Testes!$A$2:$A$500,0)),""))</f>
        <v/>
      </c>
      <c r="G1063" s="8">
        <f>IF(F1063="ocorrência","VP",IF(F1063="sem ocorrência","FP",""))</f>
        <v/>
      </c>
      <c r="H1063" s="7" t="n"/>
      <c r="I1063" s="8">
        <f>IF(H1063&lt;&gt;"",H1063,G1063)</f>
        <v/>
      </c>
    </row>
    <row r="1064">
      <c r="A1064" s="9" t="n"/>
      <c r="B1064" s="9" t="n"/>
      <c r="C1064" s="9" t="n"/>
      <c r="D1064" s="9" t="n"/>
      <c r="E1064" s="9" t="n"/>
      <c r="F1064" s="8">
        <f>IF(A1064="","",IFERROR(INDEX(Testes!$N$2:$N$500,MATCH(A1064,Testes!$A$2:$A$500,0)),""))</f>
        <v/>
      </c>
      <c r="G1064" s="8">
        <f>IF(F1064="ocorrência","VP",IF(F1064="sem ocorrência","FP",""))</f>
        <v/>
      </c>
      <c r="H1064" s="7" t="n"/>
      <c r="I1064" s="8">
        <f>IF(H1064&lt;&gt;"",H1064,G1064)</f>
        <v/>
      </c>
    </row>
    <row r="1065">
      <c r="A1065" s="9" t="n"/>
      <c r="B1065" s="9" t="n"/>
      <c r="C1065" s="9" t="n"/>
      <c r="D1065" s="9" t="n"/>
      <c r="E1065" s="9" t="n"/>
      <c r="F1065" s="8">
        <f>IF(A1065="","",IFERROR(INDEX(Testes!$N$2:$N$500,MATCH(A1065,Testes!$A$2:$A$500,0)),""))</f>
        <v/>
      </c>
      <c r="G1065" s="8">
        <f>IF(F1065="ocorrência","VP",IF(F1065="sem ocorrência","FP",""))</f>
        <v/>
      </c>
      <c r="H1065" s="7" t="n"/>
      <c r="I1065" s="8">
        <f>IF(H1065&lt;&gt;"",H1065,G1065)</f>
        <v/>
      </c>
    </row>
    <row r="1066">
      <c r="A1066" s="9" t="n"/>
      <c r="B1066" s="9" t="n"/>
      <c r="C1066" s="9" t="n"/>
      <c r="D1066" s="9" t="n"/>
      <c r="E1066" s="9" t="n"/>
      <c r="F1066" s="8">
        <f>IF(A1066="","",IFERROR(INDEX(Testes!$N$2:$N$500,MATCH(A1066,Testes!$A$2:$A$500,0)),""))</f>
        <v/>
      </c>
      <c r="G1066" s="8">
        <f>IF(F1066="ocorrência","VP",IF(F1066="sem ocorrência","FP",""))</f>
        <v/>
      </c>
      <c r="H1066" s="7" t="n"/>
      <c r="I1066" s="8">
        <f>IF(H1066&lt;&gt;"",H1066,G1066)</f>
        <v/>
      </c>
    </row>
    <row r="1067">
      <c r="A1067" s="9" t="n"/>
      <c r="B1067" s="9" t="n"/>
      <c r="C1067" s="9" t="n"/>
      <c r="D1067" s="9" t="n"/>
      <c r="E1067" s="9" t="n"/>
      <c r="F1067" s="8">
        <f>IF(A1067="","",IFERROR(INDEX(Testes!$N$2:$N$500,MATCH(A1067,Testes!$A$2:$A$500,0)),""))</f>
        <v/>
      </c>
      <c r="G1067" s="8">
        <f>IF(F1067="ocorrência","VP",IF(F1067="sem ocorrência","FP",""))</f>
        <v/>
      </c>
      <c r="H1067" s="7" t="n"/>
      <c r="I1067" s="8">
        <f>IF(H1067&lt;&gt;"",H1067,G1067)</f>
        <v/>
      </c>
    </row>
    <row r="1068">
      <c r="A1068" s="9" t="n"/>
      <c r="B1068" s="9" t="n"/>
      <c r="C1068" s="9" t="n"/>
      <c r="D1068" s="9" t="n"/>
      <c r="E1068" s="9" t="n"/>
      <c r="F1068" s="8">
        <f>IF(A1068="","",IFERROR(INDEX(Testes!$N$2:$N$500,MATCH(A1068,Testes!$A$2:$A$500,0)),""))</f>
        <v/>
      </c>
      <c r="G1068" s="8">
        <f>IF(F1068="ocorrência","VP",IF(F1068="sem ocorrência","FP",""))</f>
        <v/>
      </c>
      <c r="H1068" s="7" t="n"/>
      <c r="I1068" s="8">
        <f>IF(H1068&lt;&gt;"",H1068,G1068)</f>
        <v/>
      </c>
    </row>
    <row r="1069">
      <c r="A1069" s="9" t="n"/>
      <c r="B1069" s="9" t="n"/>
      <c r="C1069" s="9" t="n"/>
      <c r="D1069" s="9" t="n"/>
      <c r="E1069" s="9" t="n"/>
      <c r="F1069" s="8">
        <f>IF(A1069="","",IFERROR(INDEX(Testes!$N$2:$N$500,MATCH(A1069,Testes!$A$2:$A$500,0)),""))</f>
        <v/>
      </c>
      <c r="G1069" s="8">
        <f>IF(F1069="ocorrência","VP",IF(F1069="sem ocorrência","FP",""))</f>
        <v/>
      </c>
      <c r="H1069" s="7" t="n"/>
      <c r="I1069" s="8">
        <f>IF(H1069&lt;&gt;"",H1069,G1069)</f>
        <v/>
      </c>
    </row>
    <row r="1070">
      <c r="A1070" s="9" t="n"/>
      <c r="B1070" s="9" t="n"/>
      <c r="C1070" s="9" t="n"/>
      <c r="D1070" s="9" t="n"/>
      <c r="E1070" s="9" t="n"/>
      <c r="F1070" s="8">
        <f>IF(A1070="","",IFERROR(INDEX(Testes!$N$2:$N$500,MATCH(A1070,Testes!$A$2:$A$500,0)),""))</f>
        <v/>
      </c>
      <c r="G1070" s="8">
        <f>IF(F1070="ocorrência","VP",IF(F1070="sem ocorrência","FP",""))</f>
        <v/>
      </c>
      <c r="H1070" s="7" t="n"/>
      <c r="I1070" s="8">
        <f>IF(H1070&lt;&gt;"",H1070,G1070)</f>
        <v/>
      </c>
    </row>
    <row r="1071">
      <c r="A1071" s="9" t="n"/>
      <c r="B1071" s="9" t="n"/>
      <c r="C1071" s="9" t="n"/>
      <c r="D1071" s="9" t="n"/>
      <c r="E1071" s="9" t="n"/>
      <c r="F1071" s="8">
        <f>IF(A1071="","",IFERROR(INDEX(Testes!$N$2:$N$500,MATCH(A1071,Testes!$A$2:$A$500,0)),""))</f>
        <v/>
      </c>
      <c r="G1071" s="8">
        <f>IF(F1071="ocorrência","VP",IF(F1071="sem ocorrência","FP",""))</f>
        <v/>
      </c>
      <c r="H1071" s="7" t="n"/>
      <c r="I1071" s="8">
        <f>IF(H1071&lt;&gt;"",H1071,G1071)</f>
        <v/>
      </c>
    </row>
    <row r="1072">
      <c r="A1072" s="9" t="n"/>
      <c r="B1072" s="9" t="n"/>
      <c r="C1072" s="9" t="n"/>
      <c r="D1072" s="9" t="n"/>
      <c r="E1072" s="9" t="n"/>
      <c r="F1072" s="8">
        <f>IF(A1072="","",IFERROR(INDEX(Testes!$N$2:$N$500,MATCH(A1072,Testes!$A$2:$A$500,0)),""))</f>
        <v/>
      </c>
      <c r="G1072" s="8">
        <f>IF(F1072="ocorrência","VP",IF(F1072="sem ocorrência","FP",""))</f>
        <v/>
      </c>
      <c r="H1072" s="7" t="n"/>
      <c r="I1072" s="8">
        <f>IF(H1072&lt;&gt;"",H1072,G1072)</f>
        <v/>
      </c>
    </row>
    <row r="1073">
      <c r="A1073" s="9" t="n"/>
      <c r="B1073" s="9" t="n"/>
      <c r="C1073" s="9" t="n"/>
      <c r="D1073" s="9" t="n"/>
      <c r="E1073" s="9" t="n"/>
      <c r="F1073" s="8">
        <f>IF(A1073="","",IFERROR(INDEX(Testes!$N$2:$N$500,MATCH(A1073,Testes!$A$2:$A$500,0)),""))</f>
        <v/>
      </c>
      <c r="G1073" s="8">
        <f>IF(F1073="ocorrência","VP",IF(F1073="sem ocorrência","FP",""))</f>
        <v/>
      </c>
      <c r="H1073" s="7" t="n"/>
      <c r="I1073" s="8">
        <f>IF(H1073&lt;&gt;"",H1073,G1073)</f>
        <v/>
      </c>
    </row>
    <row r="1074">
      <c r="A1074" s="9" t="n"/>
      <c r="B1074" s="9" t="n"/>
      <c r="C1074" s="9" t="n"/>
      <c r="D1074" s="9" t="n"/>
      <c r="E1074" s="9" t="n"/>
      <c r="F1074" s="8">
        <f>IF(A1074="","",IFERROR(INDEX(Testes!$N$2:$N$500,MATCH(A1074,Testes!$A$2:$A$500,0)),""))</f>
        <v/>
      </c>
      <c r="G1074" s="8">
        <f>IF(F1074="ocorrência","VP",IF(F1074="sem ocorrência","FP",""))</f>
        <v/>
      </c>
      <c r="H1074" s="7" t="n"/>
      <c r="I1074" s="8">
        <f>IF(H1074&lt;&gt;"",H1074,G1074)</f>
        <v/>
      </c>
    </row>
    <row r="1075">
      <c r="A1075" s="9" t="n"/>
      <c r="B1075" s="9" t="n"/>
      <c r="C1075" s="9" t="n"/>
      <c r="D1075" s="9" t="n"/>
      <c r="E1075" s="9" t="n"/>
      <c r="F1075" s="8">
        <f>IF(A1075="","",IFERROR(INDEX(Testes!$N$2:$N$500,MATCH(A1075,Testes!$A$2:$A$500,0)),""))</f>
        <v/>
      </c>
      <c r="G1075" s="8">
        <f>IF(F1075="ocorrência","VP",IF(F1075="sem ocorrência","FP",""))</f>
        <v/>
      </c>
      <c r="H1075" s="7" t="n"/>
      <c r="I1075" s="8">
        <f>IF(H1075&lt;&gt;"",H1075,G1075)</f>
        <v/>
      </c>
    </row>
    <row r="1076">
      <c r="A1076" s="9" t="n"/>
      <c r="B1076" s="9" t="n"/>
      <c r="C1076" s="9" t="n"/>
      <c r="D1076" s="9" t="n"/>
      <c r="E1076" s="9" t="n"/>
      <c r="F1076" s="8">
        <f>IF(A1076="","",IFERROR(INDEX(Testes!$N$2:$N$500,MATCH(A1076,Testes!$A$2:$A$500,0)),""))</f>
        <v/>
      </c>
      <c r="G1076" s="8">
        <f>IF(F1076="ocorrência","VP",IF(F1076="sem ocorrência","FP",""))</f>
        <v/>
      </c>
      <c r="H1076" s="7" t="n"/>
      <c r="I1076" s="8">
        <f>IF(H1076&lt;&gt;"",H1076,G1076)</f>
        <v/>
      </c>
    </row>
    <row r="1077">
      <c r="A1077" s="9" t="n"/>
      <c r="B1077" s="9" t="n"/>
      <c r="C1077" s="9" t="n"/>
      <c r="D1077" s="9" t="n"/>
      <c r="E1077" s="9" t="n"/>
      <c r="F1077" s="8">
        <f>IF(A1077="","",IFERROR(INDEX(Testes!$N$2:$N$500,MATCH(A1077,Testes!$A$2:$A$500,0)),""))</f>
        <v/>
      </c>
      <c r="G1077" s="8">
        <f>IF(F1077="ocorrência","VP",IF(F1077="sem ocorrência","FP",""))</f>
        <v/>
      </c>
      <c r="H1077" s="7" t="n"/>
      <c r="I1077" s="8">
        <f>IF(H1077&lt;&gt;"",H1077,G1077)</f>
        <v/>
      </c>
    </row>
    <row r="1078">
      <c r="A1078" s="9" t="n"/>
      <c r="B1078" s="9" t="n"/>
      <c r="C1078" s="9" t="n"/>
      <c r="D1078" s="9" t="n"/>
      <c r="E1078" s="9" t="n"/>
      <c r="F1078" s="8">
        <f>IF(A1078="","",IFERROR(INDEX(Testes!$N$2:$N$500,MATCH(A1078,Testes!$A$2:$A$500,0)),""))</f>
        <v/>
      </c>
      <c r="G1078" s="8">
        <f>IF(F1078="ocorrência","VP",IF(F1078="sem ocorrência","FP",""))</f>
        <v/>
      </c>
      <c r="H1078" s="7" t="n"/>
      <c r="I1078" s="8">
        <f>IF(H1078&lt;&gt;"",H1078,G1078)</f>
        <v/>
      </c>
    </row>
    <row r="1079">
      <c r="A1079" s="9" t="n"/>
      <c r="B1079" s="9" t="n"/>
      <c r="C1079" s="9" t="n"/>
      <c r="D1079" s="9" t="n"/>
      <c r="E1079" s="9" t="n"/>
      <c r="F1079" s="8">
        <f>IF(A1079="","",IFERROR(INDEX(Testes!$N$2:$N$500,MATCH(A1079,Testes!$A$2:$A$500,0)),""))</f>
        <v/>
      </c>
      <c r="G1079" s="8">
        <f>IF(F1079="ocorrência","VP",IF(F1079="sem ocorrência","FP",""))</f>
        <v/>
      </c>
      <c r="H1079" s="7" t="n"/>
      <c r="I1079" s="8">
        <f>IF(H1079&lt;&gt;"",H1079,G1079)</f>
        <v/>
      </c>
    </row>
    <row r="1080">
      <c r="A1080" s="9" t="n"/>
      <c r="B1080" s="9" t="n"/>
      <c r="C1080" s="9" t="n"/>
      <c r="D1080" s="9" t="n"/>
      <c r="E1080" s="9" t="n"/>
      <c r="F1080" s="8">
        <f>IF(A1080="","",IFERROR(INDEX(Testes!$N$2:$N$500,MATCH(A1080,Testes!$A$2:$A$500,0)),""))</f>
        <v/>
      </c>
      <c r="G1080" s="8">
        <f>IF(F1080="ocorrência","VP",IF(F1080="sem ocorrência","FP",""))</f>
        <v/>
      </c>
      <c r="H1080" s="7" t="n"/>
      <c r="I1080" s="8">
        <f>IF(H1080&lt;&gt;"",H1080,G1080)</f>
        <v/>
      </c>
    </row>
    <row r="1081">
      <c r="A1081" s="9" t="n"/>
      <c r="B1081" s="9" t="n"/>
      <c r="C1081" s="9" t="n"/>
      <c r="D1081" s="9" t="n"/>
      <c r="E1081" s="9" t="n"/>
      <c r="F1081" s="8">
        <f>IF(A1081="","",IFERROR(INDEX(Testes!$N$2:$N$500,MATCH(A1081,Testes!$A$2:$A$500,0)),""))</f>
        <v/>
      </c>
      <c r="G1081" s="8">
        <f>IF(F1081="ocorrência","VP",IF(F1081="sem ocorrência","FP",""))</f>
        <v/>
      </c>
      <c r="H1081" s="7" t="n"/>
      <c r="I1081" s="8">
        <f>IF(H1081&lt;&gt;"",H1081,G1081)</f>
        <v/>
      </c>
    </row>
    <row r="1082">
      <c r="A1082" s="9" t="n"/>
      <c r="B1082" s="9" t="n"/>
      <c r="C1082" s="9" t="n"/>
      <c r="D1082" s="9" t="n"/>
      <c r="E1082" s="9" t="n"/>
      <c r="F1082" s="8">
        <f>IF(A1082="","",IFERROR(INDEX(Testes!$N$2:$N$500,MATCH(A1082,Testes!$A$2:$A$500,0)),""))</f>
        <v/>
      </c>
      <c r="G1082" s="8">
        <f>IF(F1082="ocorrência","VP",IF(F1082="sem ocorrência","FP",""))</f>
        <v/>
      </c>
      <c r="H1082" s="7" t="n"/>
      <c r="I1082" s="8">
        <f>IF(H1082&lt;&gt;"",H1082,G1082)</f>
        <v/>
      </c>
    </row>
    <row r="1083">
      <c r="A1083" s="9" t="n"/>
      <c r="B1083" s="9" t="n"/>
      <c r="C1083" s="9" t="n"/>
      <c r="D1083" s="9" t="n"/>
      <c r="E1083" s="9" t="n"/>
      <c r="F1083" s="8">
        <f>IF(A1083="","",IFERROR(INDEX(Testes!$N$2:$N$500,MATCH(A1083,Testes!$A$2:$A$500,0)),""))</f>
        <v/>
      </c>
      <c r="G1083" s="8">
        <f>IF(F1083="ocorrência","VP",IF(F1083="sem ocorrência","FP",""))</f>
        <v/>
      </c>
      <c r="H1083" s="7" t="n"/>
      <c r="I1083" s="8">
        <f>IF(H1083&lt;&gt;"",H1083,G1083)</f>
        <v/>
      </c>
    </row>
    <row r="1084">
      <c r="A1084" s="9" t="n"/>
      <c r="B1084" s="9" t="n"/>
      <c r="C1084" s="9" t="n"/>
      <c r="D1084" s="9" t="n"/>
      <c r="E1084" s="9" t="n"/>
      <c r="F1084" s="8">
        <f>IF(A1084="","",IFERROR(INDEX(Testes!$N$2:$N$500,MATCH(A1084,Testes!$A$2:$A$500,0)),""))</f>
        <v/>
      </c>
      <c r="G1084" s="8">
        <f>IF(F1084="ocorrência","VP",IF(F1084="sem ocorrência","FP",""))</f>
        <v/>
      </c>
      <c r="H1084" s="7" t="n"/>
      <c r="I1084" s="8">
        <f>IF(H1084&lt;&gt;"",H1084,G1084)</f>
        <v/>
      </c>
    </row>
    <row r="1085">
      <c r="A1085" s="9" t="n"/>
      <c r="B1085" s="9" t="n"/>
      <c r="C1085" s="9" t="n"/>
      <c r="D1085" s="9" t="n"/>
      <c r="E1085" s="9" t="n"/>
      <c r="F1085" s="8">
        <f>IF(A1085="","",IFERROR(INDEX(Testes!$N$2:$N$500,MATCH(A1085,Testes!$A$2:$A$500,0)),""))</f>
        <v/>
      </c>
      <c r="G1085" s="8">
        <f>IF(F1085="ocorrência","VP",IF(F1085="sem ocorrência","FP",""))</f>
        <v/>
      </c>
      <c r="H1085" s="7" t="n"/>
      <c r="I1085" s="8">
        <f>IF(H1085&lt;&gt;"",H1085,G1085)</f>
        <v/>
      </c>
    </row>
    <row r="1086">
      <c r="A1086" s="9" t="n"/>
      <c r="B1086" s="9" t="n"/>
      <c r="C1086" s="9" t="n"/>
      <c r="D1086" s="9" t="n"/>
      <c r="E1086" s="9" t="n"/>
      <c r="F1086" s="8">
        <f>IF(A1086="","",IFERROR(INDEX(Testes!$N$2:$N$500,MATCH(A1086,Testes!$A$2:$A$500,0)),""))</f>
        <v/>
      </c>
      <c r="G1086" s="8">
        <f>IF(F1086="ocorrência","VP",IF(F1086="sem ocorrência","FP",""))</f>
        <v/>
      </c>
      <c r="H1086" s="7" t="n"/>
      <c r="I1086" s="8">
        <f>IF(H1086&lt;&gt;"",H1086,G1086)</f>
        <v/>
      </c>
    </row>
    <row r="1087">
      <c r="A1087" s="9" t="n"/>
      <c r="B1087" s="9" t="n"/>
      <c r="C1087" s="9" t="n"/>
      <c r="D1087" s="9" t="n"/>
      <c r="E1087" s="9" t="n"/>
      <c r="F1087" s="8">
        <f>IF(A1087="","",IFERROR(INDEX(Testes!$N$2:$N$500,MATCH(A1087,Testes!$A$2:$A$500,0)),""))</f>
        <v/>
      </c>
      <c r="G1087" s="8">
        <f>IF(F1087="ocorrência","VP",IF(F1087="sem ocorrência","FP",""))</f>
        <v/>
      </c>
      <c r="H1087" s="7" t="n"/>
      <c r="I1087" s="8">
        <f>IF(H1087&lt;&gt;"",H1087,G1087)</f>
        <v/>
      </c>
    </row>
    <row r="1088">
      <c r="A1088" s="9" t="n"/>
      <c r="B1088" s="9" t="n"/>
      <c r="C1088" s="9" t="n"/>
      <c r="D1088" s="9" t="n"/>
      <c r="E1088" s="9" t="n"/>
      <c r="F1088" s="8">
        <f>IF(A1088="","",IFERROR(INDEX(Testes!$N$2:$N$500,MATCH(A1088,Testes!$A$2:$A$500,0)),""))</f>
        <v/>
      </c>
      <c r="G1088" s="8">
        <f>IF(F1088="ocorrência","VP",IF(F1088="sem ocorrência","FP",""))</f>
        <v/>
      </c>
      <c r="H1088" s="7" t="n"/>
      <c r="I1088" s="8">
        <f>IF(H1088&lt;&gt;"",H1088,G1088)</f>
        <v/>
      </c>
    </row>
    <row r="1089">
      <c r="A1089" s="9" t="n"/>
      <c r="B1089" s="9" t="n"/>
      <c r="C1089" s="9" t="n"/>
      <c r="D1089" s="9" t="n"/>
      <c r="E1089" s="9" t="n"/>
      <c r="F1089" s="8">
        <f>IF(A1089="","",IFERROR(INDEX(Testes!$N$2:$N$500,MATCH(A1089,Testes!$A$2:$A$500,0)),""))</f>
        <v/>
      </c>
      <c r="G1089" s="8">
        <f>IF(F1089="ocorrência","VP",IF(F1089="sem ocorrência","FP",""))</f>
        <v/>
      </c>
      <c r="H1089" s="7" t="n"/>
      <c r="I1089" s="8">
        <f>IF(H1089&lt;&gt;"",H1089,G1089)</f>
        <v/>
      </c>
    </row>
    <row r="1090">
      <c r="A1090" s="9" t="n"/>
      <c r="B1090" s="9" t="n"/>
      <c r="C1090" s="9" t="n"/>
      <c r="D1090" s="9" t="n"/>
      <c r="E1090" s="9" t="n"/>
      <c r="F1090" s="8">
        <f>IF(A1090="","",IFERROR(INDEX(Testes!$N$2:$N$500,MATCH(A1090,Testes!$A$2:$A$500,0)),""))</f>
        <v/>
      </c>
      <c r="G1090" s="8">
        <f>IF(F1090="ocorrência","VP",IF(F1090="sem ocorrência","FP",""))</f>
        <v/>
      </c>
      <c r="H1090" s="7" t="n"/>
      <c r="I1090" s="8">
        <f>IF(H1090&lt;&gt;"",H1090,G1090)</f>
        <v/>
      </c>
    </row>
    <row r="1091">
      <c r="A1091" s="9" t="n"/>
      <c r="B1091" s="9" t="n"/>
      <c r="C1091" s="9" t="n"/>
      <c r="D1091" s="9" t="n"/>
      <c r="E1091" s="9" t="n"/>
      <c r="F1091" s="8">
        <f>IF(A1091="","",IFERROR(INDEX(Testes!$N$2:$N$500,MATCH(A1091,Testes!$A$2:$A$500,0)),""))</f>
        <v/>
      </c>
      <c r="G1091" s="8">
        <f>IF(F1091="ocorrência","VP",IF(F1091="sem ocorrência","FP",""))</f>
        <v/>
      </c>
      <c r="H1091" s="7" t="n"/>
      <c r="I1091" s="8">
        <f>IF(H1091&lt;&gt;"",H1091,G1091)</f>
        <v/>
      </c>
    </row>
    <row r="1092">
      <c r="A1092" s="9" t="n"/>
      <c r="B1092" s="9" t="n"/>
      <c r="C1092" s="9" t="n"/>
      <c r="D1092" s="9" t="n"/>
      <c r="E1092" s="9" t="n"/>
      <c r="F1092" s="8">
        <f>IF(A1092="","",IFERROR(INDEX(Testes!$N$2:$N$500,MATCH(A1092,Testes!$A$2:$A$500,0)),""))</f>
        <v/>
      </c>
      <c r="G1092" s="8">
        <f>IF(F1092="ocorrência","VP",IF(F1092="sem ocorrência","FP",""))</f>
        <v/>
      </c>
      <c r="H1092" s="7" t="n"/>
      <c r="I1092" s="8">
        <f>IF(H1092&lt;&gt;"",H1092,G1092)</f>
        <v/>
      </c>
    </row>
    <row r="1093">
      <c r="A1093" s="9" t="n"/>
      <c r="B1093" s="9" t="n"/>
      <c r="C1093" s="9" t="n"/>
      <c r="D1093" s="9" t="n"/>
      <c r="E1093" s="9" t="n"/>
      <c r="F1093" s="8">
        <f>IF(A1093="","",IFERROR(INDEX(Testes!$N$2:$N$500,MATCH(A1093,Testes!$A$2:$A$500,0)),""))</f>
        <v/>
      </c>
      <c r="G1093" s="8">
        <f>IF(F1093="ocorrência","VP",IF(F1093="sem ocorrência","FP",""))</f>
        <v/>
      </c>
      <c r="H1093" s="7" t="n"/>
      <c r="I1093" s="8">
        <f>IF(H1093&lt;&gt;"",H1093,G1093)</f>
        <v/>
      </c>
    </row>
    <row r="1094">
      <c r="A1094" s="9" t="n"/>
      <c r="B1094" s="9" t="n"/>
      <c r="C1094" s="9" t="n"/>
      <c r="D1094" s="9" t="n"/>
      <c r="E1094" s="9" t="n"/>
      <c r="F1094" s="8">
        <f>IF(A1094="","",IFERROR(INDEX(Testes!$N$2:$N$500,MATCH(A1094,Testes!$A$2:$A$500,0)),""))</f>
        <v/>
      </c>
      <c r="G1094" s="8">
        <f>IF(F1094="ocorrência","VP",IF(F1094="sem ocorrência","FP",""))</f>
        <v/>
      </c>
      <c r="H1094" s="7" t="n"/>
      <c r="I1094" s="8">
        <f>IF(H1094&lt;&gt;"",H1094,G1094)</f>
        <v/>
      </c>
    </row>
    <row r="1095">
      <c r="A1095" s="9" t="n"/>
      <c r="B1095" s="9" t="n"/>
      <c r="C1095" s="9" t="n"/>
      <c r="D1095" s="9" t="n"/>
      <c r="E1095" s="9" t="n"/>
      <c r="F1095" s="8">
        <f>IF(A1095="","",IFERROR(INDEX(Testes!$N$2:$N$500,MATCH(A1095,Testes!$A$2:$A$500,0)),""))</f>
        <v/>
      </c>
      <c r="G1095" s="8">
        <f>IF(F1095="ocorrência","VP",IF(F1095="sem ocorrência","FP",""))</f>
        <v/>
      </c>
      <c r="H1095" s="7" t="n"/>
      <c r="I1095" s="8">
        <f>IF(H1095&lt;&gt;"",H1095,G1095)</f>
        <v/>
      </c>
    </row>
    <row r="1096">
      <c r="A1096" s="9" t="n"/>
      <c r="B1096" s="9" t="n"/>
      <c r="C1096" s="9" t="n"/>
      <c r="D1096" s="9" t="n"/>
      <c r="E1096" s="9" t="n"/>
      <c r="F1096" s="8">
        <f>IF(A1096="","",IFERROR(INDEX(Testes!$N$2:$N$500,MATCH(A1096,Testes!$A$2:$A$500,0)),""))</f>
        <v/>
      </c>
      <c r="G1096" s="8">
        <f>IF(F1096="ocorrência","VP",IF(F1096="sem ocorrência","FP",""))</f>
        <v/>
      </c>
      <c r="H1096" s="7" t="n"/>
      <c r="I1096" s="8">
        <f>IF(H1096&lt;&gt;"",H1096,G1096)</f>
        <v/>
      </c>
    </row>
    <row r="1097">
      <c r="A1097" s="9" t="n"/>
      <c r="B1097" s="9" t="n"/>
      <c r="C1097" s="9" t="n"/>
      <c r="D1097" s="9" t="n"/>
      <c r="E1097" s="9" t="n"/>
      <c r="F1097" s="8">
        <f>IF(A1097="","",IFERROR(INDEX(Testes!$N$2:$N$500,MATCH(A1097,Testes!$A$2:$A$500,0)),""))</f>
        <v/>
      </c>
      <c r="G1097" s="8">
        <f>IF(F1097="ocorrência","VP",IF(F1097="sem ocorrência","FP",""))</f>
        <v/>
      </c>
      <c r="H1097" s="7" t="n"/>
      <c r="I1097" s="8">
        <f>IF(H1097&lt;&gt;"",H1097,G1097)</f>
        <v/>
      </c>
    </row>
    <row r="1098">
      <c r="A1098" s="9" t="n"/>
      <c r="B1098" s="9" t="n"/>
      <c r="C1098" s="9" t="n"/>
      <c r="D1098" s="9" t="n"/>
      <c r="E1098" s="9" t="n"/>
      <c r="F1098" s="8">
        <f>IF(A1098="","",IFERROR(INDEX(Testes!$N$2:$N$500,MATCH(A1098,Testes!$A$2:$A$500,0)),""))</f>
        <v/>
      </c>
      <c r="G1098" s="8">
        <f>IF(F1098="ocorrência","VP",IF(F1098="sem ocorrência","FP",""))</f>
        <v/>
      </c>
      <c r="H1098" s="7" t="n"/>
      <c r="I1098" s="8">
        <f>IF(H1098&lt;&gt;"",H1098,G1098)</f>
        <v/>
      </c>
    </row>
    <row r="1099">
      <c r="A1099" s="9" t="n"/>
      <c r="B1099" s="9" t="n"/>
      <c r="C1099" s="9" t="n"/>
      <c r="D1099" s="9" t="n"/>
      <c r="E1099" s="9" t="n"/>
      <c r="F1099" s="8">
        <f>IF(A1099="","",IFERROR(INDEX(Testes!$N$2:$N$500,MATCH(A1099,Testes!$A$2:$A$500,0)),""))</f>
        <v/>
      </c>
      <c r="G1099" s="8">
        <f>IF(F1099="ocorrência","VP",IF(F1099="sem ocorrência","FP",""))</f>
        <v/>
      </c>
      <c r="H1099" s="7" t="n"/>
      <c r="I1099" s="8">
        <f>IF(H1099&lt;&gt;"",H1099,G1099)</f>
        <v/>
      </c>
    </row>
    <row r="1100">
      <c r="A1100" s="9" t="n"/>
      <c r="B1100" s="9" t="n"/>
      <c r="C1100" s="9" t="n"/>
      <c r="D1100" s="9" t="n"/>
      <c r="E1100" s="9" t="n"/>
      <c r="F1100" s="8">
        <f>IF(A1100="","",IFERROR(INDEX(Testes!$N$2:$N$500,MATCH(A1100,Testes!$A$2:$A$500,0)),""))</f>
        <v/>
      </c>
      <c r="G1100" s="8">
        <f>IF(F1100="ocorrência","VP",IF(F1100="sem ocorrência","FP",""))</f>
        <v/>
      </c>
      <c r="H1100" s="7" t="n"/>
      <c r="I1100" s="8">
        <f>IF(H1100&lt;&gt;"",H1100,G1100)</f>
        <v/>
      </c>
    </row>
    <row r="1101">
      <c r="A1101" s="9" t="n"/>
      <c r="B1101" s="9" t="n"/>
      <c r="C1101" s="9" t="n"/>
      <c r="D1101" s="9" t="n"/>
      <c r="E1101" s="9" t="n"/>
      <c r="F1101" s="8">
        <f>IF(A1101="","",IFERROR(INDEX(Testes!$N$2:$N$500,MATCH(A1101,Testes!$A$2:$A$500,0)),""))</f>
        <v/>
      </c>
      <c r="G1101" s="8">
        <f>IF(F1101="ocorrência","VP",IF(F1101="sem ocorrência","FP",""))</f>
        <v/>
      </c>
      <c r="H1101" s="7" t="n"/>
      <c r="I1101" s="8">
        <f>IF(H1101&lt;&gt;"",H1101,G1101)</f>
        <v/>
      </c>
    </row>
    <row r="1102">
      <c r="A1102" s="9" t="n"/>
      <c r="B1102" s="9" t="n"/>
      <c r="C1102" s="9" t="n"/>
      <c r="D1102" s="9" t="n"/>
      <c r="E1102" s="9" t="n"/>
      <c r="F1102" s="8">
        <f>IF(A1102="","",IFERROR(INDEX(Testes!$N$2:$N$500,MATCH(A1102,Testes!$A$2:$A$500,0)),""))</f>
        <v/>
      </c>
      <c r="G1102" s="8">
        <f>IF(F1102="ocorrência","VP",IF(F1102="sem ocorrência","FP",""))</f>
        <v/>
      </c>
      <c r="H1102" s="7" t="n"/>
      <c r="I1102" s="8">
        <f>IF(H1102&lt;&gt;"",H1102,G1102)</f>
        <v/>
      </c>
    </row>
    <row r="1103">
      <c r="A1103" s="9" t="n"/>
      <c r="B1103" s="9" t="n"/>
      <c r="C1103" s="9" t="n"/>
      <c r="D1103" s="9" t="n"/>
      <c r="E1103" s="9" t="n"/>
      <c r="F1103" s="8">
        <f>IF(A1103="","",IFERROR(INDEX(Testes!$N$2:$N$500,MATCH(A1103,Testes!$A$2:$A$500,0)),""))</f>
        <v/>
      </c>
      <c r="G1103" s="8">
        <f>IF(F1103="ocorrência","VP",IF(F1103="sem ocorrência","FP",""))</f>
        <v/>
      </c>
      <c r="H1103" s="7" t="n"/>
      <c r="I1103" s="8">
        <f>IF(H1103&lt;&gt;"",H1103,G1103)</f>
        <v/>
      </c>
    </row>
    <row r="1104">
      <c r="A1104" s="9" t="n"/>
      <c r="B1104" s="9" t="n"/>
      <c r="C1104" s="9" t="n"/>
      <c r="D1104" s="9" t="n"/>
      <c r="E1104" s="9" t="n"/>
      <c r="F1104" s="8">
        <f>IF(A1104="","",IFERROR(INDEX(Testes!$N$2:$N$500,MATCH(A1104,Testes!$A$2:$A$500,0)),""))</f>
        <v/>
      </c>
      <c r="G1104" s="8">
        <f>IF(F1104="ocorrência","VP",IF(F1104="sem ocorrência","FP",""))</f>
        <v/>
      </c>
      <c r="H1104" s="7" t="n"/>
      <c r="I1104" s="8">
        <f>IF(H1104&lt;&gt;"",H1104,G1104)</f>
        <v/>
      </c>
    </row>
    <row r="1105">
      <c r="A1105" s="9" t="n"/>
      <c r="B1105" s="9" t="n"/>
      <c r="C1105" s="9" t="n"/>
      <c r="D1105" s="9" t="n"/>
      <c r="E1105" s="9" t="n"/>
      <c r="F1105" s="8">
        <f>IF(A1105="","",IFERROR(INDEX(Testes!$N$2:$N$500,MATCH(A1105,Testes!$A$2:$A$500,0)),""))</f>
        <v/>
      </c>
      <c r="G1105" s="8">
        <f>IF(F1105="ocorrência","VP",IF(F1105="sem ocorrência","FP",""))</f>
        <v/>
      </c>
      <c r="H1105" s="7" t="n"/>
      <c r="I1105" s="8">
        <f>IF(H1105&lt;&gt;"",H1105,G1105)</f>
        <v/>
      </c>
    </row>
    <row r="1106">
      <c r="A1106" s="9" t="n"/>
      <c r="B1106" s="9" t="n"/>
      <c r="C1106" s="9" t="n"/>
      <c r="D1106" s="9" t="n"/>
      <c r="E1106" s="9" t="n"/>
      <c r="F1106" s="8">
        <f>IF(A1106="","",IFERROR(INDEX(Testes!$N$2:$N$500,MATCH(A1106,Testes!$A$2:$A$500,0)),""))</f>
        <v/>
      </c>
      <c r="G1106" s="8">
        <f>IF(F1106="ocorrência","VP",IF(F1106="sem ocorrência","FP",""))</f>
        <v/>
      </c>
      <c r="H1106" s="7" t="n"/>
      <c r="I1106" s="8">
        <f>IF(H1106&lt;&gt;"",H1106,G1106)</f>
        <v/>
      </c>
    </row>
    <row r="1107">
      <c r="A1107" s="9" t="n"/>
      <c r="B1107" s="9" t="n"/>
      <c r="C1107" s="9" t="n"/>
      <c r="D1107" s="9" t="n"/>
      <c r="E1107" s="9" t="n"/>
      <c r="F1107" s="8">
        <f>IF(A1107="","",IFERROR(INDEX(Testes!$N$2:$N$500,MATCH(A1107,Testes!$A$2:$A$500,0)),""))</f>
        <v/>
      </c>
      <c r="G1107" s="8">
        <f>IF(F1107="ocorrência","VP",IF(F1107="sem ocorrência","FP",""))</f>
        <v/>
      </c>
      <c r="H1107" s="7" t="n"/>
      <c r="I1107" s="8">
        <f>IF(H1107&lt;&gt;"",H1107,G1107)</f>
        <v/>
      </c>
    </row>
    <row r="1108">
      <c r="A1108" s="9" t="n"/>
      <c r="B1108" s="9" t="n"/>
      <c r="C1108" s="9" t="n"/>
      <c r="D1108" s="9" t="n"/>
      <c r="E1108" s="9" t="n"/>
      <c r="F1108" s="8">
        <f>IF(A1108="","",IFERROR(INDEX(Testes!$N$2:$N$500,MATCH(A1108,Testes!$A$2:$A$500,0)),""))</f>
        <v/>
      </c>
      <c r="G1108" s="8">
        <f>IF(F1108="ocorrência","VP",IF(F1108="sem ocorrência","FP",""))</f>
        <v/>
      </c>
      <c r="H1108" s="7" t="n"/>
      <c r="I1108" s="8">
        <f>IF(H1108&lt;&gt;"",H1108,G1108)</f>
        <v/>
      </c>
    </row>
    <row r="1109">
      <c r="A1109" s="9" t="n"/>
      <c r="B1109" s="9" t="n"/>
      <c r="C1109" s="9" t="n"/>
      <c r="D1109" s="9" t="n"/>
      <c r="E1109" s="9" t="n"/>
      <c r="F1109" s="8">
        <f>IF(A1109="","",IFERROR(INDEX(Testes!$N$2:$N$500,MATCH(A1109,Testes!$A$2:$A$500,0)),""))</f>
        <v/>
      </c>
      <c r="G1109" s="8">
        <f>IF(F1109="ocorrência","VP",IF(F1109="sem ocorrência","FP",""))</f>
        <v/>
      </c>
      <c r="H1109" s="7" t="n"/>
      <c r="I1109" s="8">
        <f>IF(H1109&lt;&gt;"",H1109,G1109)</f>
        <v/>
      </c>
    </row>
    <row r="1110">
      <c r="A1110" s="9" t="n"/>
      <c r="B1110" s="9" t="n"/>
      <c r="C1110" s="9" t="n"/>
      <c r="D1110" s="9" t="n"/>
      <c r="E1110" s="9" t="n"/>
      <c r="F1110" s="8">
        <f>IF(A1110="","",IFERROR(INDEX(Testes!$N$2:$N$500,MATCH(A1110,Testes!$A$2:$A$500,0)),""))</f>
        <v/>
      </c>
      <c r="G1110" s="8">
        <f>IF(F1110="ocorrência","VP",IF(F1110="sem ocorrência","FP",""))</f>
        <v/>
      </c>
      <c r="H1110" s="7" t="n"/>
      <c r="I1110" s="8">
        <f>IF(H1110&lt;&gt;"",H1110,G1110)</f>
        <v/>
      </c>
    </row>
    <row r="1111">
      <c r="A1111" s="9" t="n"/>
      <c r="B1111" s="9" t="n"/>
      <c r="C1111" s="9" t="n"/>
      <c r="D1111" s="9" t="n"/>
      <c r="E1111" s="9" t="n"/>
      <c r="F1111" s="8">
        <f>IF(A1111="","",IFERROR(INDEX(Testes!$N$2:$N$500,MATCH(A1111,Testes!$A$2:$A$500,0)),""))</f>
        <v/>
      </c>
      <c r="G1111" s="8">
        <f>IF(F1111="ocorrência","VP",IF(F1111="sem ocorrência","FP",""))</f>
        <v/>
      </c>
      <c r="H1111" s="7" t="n"/>
      <c r="I1111" s="8">
        <f>IF(H1111&lt;&gt;"",H1111,G1111)</f>
        <v/>
      </c>
    </row>
    <row r="1112">
      <c r="A1112" s="9" t="n"/>
      <c r="B1112" s="9" t="n"/>
      <c r="C1112" s="9" t="n"/>
      <c r="D1112" s="9" t="n"/>
      <c r="E1112" s="9" t="n"/>
      <c r="F1112" s="8">
        <f>IF(A1112="","",IFERROR(INDEX(Testes!$N$2:$N$500,MATCH(A1112,Testes!$A$2:$A$500,0)),""))</f>
        <v/>
      </c>
      <c r="G1112" s="8">
        <f>IF(F1112="ocorrência","VP",IF(F1112="sem ocorrência","FP",""))</f>
        <v/>
      </c>
      <c r="H1112" s="7" t="n"/>
      <c r="I1112" s="8">
        <f>IF(H1112&lt;&gt;"",H1112,G1112)</f>
        <v/>
      </c>
    </row>
    <row r="1113">
      <c r="A1113" s="9" t="n"/>
      <c r="B1113" s="9" t="n"/>
      <c r="C1113" s="9" t="n"/>
      <c r="D1113" s="9" t="n"/>
      <c r="E1113" s="9" t="n"/>
      <c r="F1113" s="8">
        <f>IF(A1113="","",IFERROR(INDEX(Testes!$N$2:$N$500,MATCH(A1113,Testes!$A$2:$A$500,0)),""))</f>
        <v/>
      </c>
      <c r="G1113" s="8">
        <f>IF(F1113="ocorrência","VP",IF(F1113="sem ocorrência","FP",""))</f>
        <v/>
      </c>
      <c r="H1113" s="7" t="n"/>
      <c r="I1113" s="8">
        <f>IF(H1113&lt;&gt;"",H1113,G1113)</f>
        <v/>
      </c>
    </row>
    <row r="1114">
      <c r="A1114" s="9" t="n"/>
      <c r="B1114" s="9" t="n"/>
      <c r="C1114" s="9" t="n"/>
      <c r="D1114" s="9" t="n"/>
      <c r="E1114" s="9" t="n"/>
      <c r="F1114" s="8">
        <f>IF(A1114="","",IFERROR(INDEX(Testes!$N$2:$N$500,MATCH(A1114,Testes!$A$2:$A$500,0)),""))</f>
        <v/>
      </c>
      <c r="G1114" s="8">
        <f>IF(F1114="ocorrência","VP",IF(F1114="sem ocorrência","FP",""))</f>
        <v/>
      </c>
      <c r="H1114" s="7" t="n"/>
      <c r="I1114" s="8">
        <f>IF(H1114&lt;&gt;"",H1114,G1114)</f>
        <v/>
      </c>
    </row>
    <row r="1115">
      <c r="A1115" s="9" t="n"/>
      <c r="B1115" s="9" t="n"/>
      <c r="C1115" s="9" t="n"/>
      <c r="D1115" s="9" t="n"/>
      <c r="E1115" s="9" t="n"/>
      <c r="F1115" s="8">
        <f>IF(A1115="","",IFERROR(INDEX(Testes!$N$2:$N$500,MATCH(A1115,Testes!$A$2:$A$500,0)),""))</f>
        <v/>
      </c>
      <c r="G1115" s="8">
        <f>IF(F1115="ocorrência","VP",IF(F1115="sem ocorrência","FP",""))</f>
        <v/>
      </c>
      <c r="H1115" s="7" t="n"/>
      <c r="I1115" s="8">
        <f>IF(H1115&lt;&gt;"",H1115,G1115)</f>
        <v/>
      </c>
    </row>
    <row r="1116">
      <c r="A1116" s="9" t="n"/>
      <c r="B1116" s="9" t="n"/>
      <c r="C1116" s="9" t="n"/>
      <c r="D1116" s="9" t="n"/>
      <c r="E1116" s="9" t="n"/>
      <c r="F1116" s="8">
        <f>IF(A1116="","",IFERROR(INDEX(Testes!$N$2:$N$500,MATCH(A1116,Testes!$A$2:$A$500,0)),""))</f>
        <v/>
      </c>
      <c r="G1116" s="8">
        <f>IF(F1116="ocorrência","VP",IF(F1116="sem ocorrência","FP",""))</f>
        <v/>
      </c>
      <c r="H1116" s="7" t="n"/>
      <c r="I1116" s="8">
        <f>IF(H1116&lt;&gt;"",H1116,G1116)</f>
        <v/>
      </c>
    </row>
    <row r="1117">
      <c r="A1117" s="9" t="n"/>
      <c r="B1117" s="9" t="n"/>
      <c r="C1117" s="9" t="n"/>
      <c r="D1117" s="9" t="n"/>
      <c r="E1117" s="9" t="n"/>
      <c r="F1117" s="8">
        <f>IF(A1117="","",IFERROR(INDEX(Testes!$N$2:$N$500,MATCH(A1117,Testes!$A$2:$A$500,0)),""))</f>
        <v/>
      </c>
      <c r="G1117" s="8">
        <f>IF(F1117="ocorrência","VP",IF(F1117="sem ocorrência","FP",""))</f>
        <v/>
      </c>
      <c r="H1117" s="7" t="n"/>
      <c r="I1117" s="8">
        <f>IF(H1117&lt;&gt;"",H1117,G1117)</f>
        <v/>
      </c>
    </row>
    <row r="1118">
      <c r="A1118" s="9" t="n"/>
      <c r="B1118" s="9" t="n"/>
      <c r="C1118" s="9" t="n"/>
      <c r="D1118" s="9" t="n"/>
      <c r="E1118" s="9" t="n"/>
      <c r="F1118" s="8">
        <f>IF(A1118="","",IFERROR(INDEX(Testes!$N$2:$N$500,MATCH(A1118,Testes!$A$2:$A$500,0)),""))</f>
        <v/>
      </c>
      <c r="G1118" s="8">
        <f>IF(F1118="ocorrência","VP",IF(F1118="sem ocorrência","FP",""))</f>
        <v/>
      </c>
      <c r="H1118" s="7" t="n"/>
      <c r="I1118" s="8">
        <f>IF(H1118&lt;&gt;"",H1118,G1118)</f>
        <v/>
      </c>
    </row>
    <row r="1119">
      <c r="A1119" s="9" t="n"/>
      <c r="B1119" s="9" t="n"/>
      <c r="C1119" s="9" t="n"/>
      <c r="D1119" s="9" t="n"/>
      <c r="E1119" s="9" t="n"/>
      <c r="F1119" s="8">
        <f>IF(A1119="","",IFERROR(INDEX(Testes!$N$2:$N$500,MATCH(A1119,Testes!$A$2:$A$500,0)),""))</f>
        <v/>
      </c>
      <c r="G1119" s="8">
        <f>IF(F1119="ocorrência","VP",IF(F1119="sem ocorrência","FP",""))</f>
        <v/>
      </c>
      <c r="H1119" s="7" t="n"/>
      <c r="I1119" s="8">
        <f>IF(H1119&lt;&gt;"",H1119,G1119)</f>
        <v/>
      </c>
    </row>
    <row r="1120">
      <c r="A1120" s="9" t="n"/>
      <c r="B1120" s="9" t="n"/>
      <c r="C1120" s="9" t="n"/>
      <c r="D1120" s="9" t="n"/>
      <c r="E1120" s="9" t="n"/>
      <c r="F1120" s="8">
        <f>IF(A1120="","",IFERROR(INDEX(Testes!$N$2:$N$500,MATCH(A1120,Testes!$A$2:$A$500,0)),""))</f>
        <v/>
      </c>
      <c r="G1120" s="8">
        <f>IF(F1120="ocorrência","VP",IF(F1120="sem ocorrência","FP",""))</f>
        <v/>
      </c>
      <c r="H1120" s="7" t="n"/>
      <c r="I1120" s="8">
        <f>IF(H1120&lt;&gt;"",H1120,G1120)</f>
        <v/>
      </c>
    </row>
    <row r="1121">
      <c r="A1121" s="9" t="n"/>
      <c r="B1121" s="9" t="n"/>
      <c r="C1121" s="9" t="n"/>
      <c r="D1121" s="9" t="n"/>
      <c r="E1121" s="9" t="n"/>
      <c r="F1121" s="8">
        <f>IF(A1121="","",IFERROR(INDEX(Testes!$N$2:$N$500,MATCH(A1121,Testes!$A$2:$A$500,0)),""))</f>
        <v/>
      </c>
      <c r="G1121" s="8">
        <f>IF(F1121="ocorrência","VP",IF(F1121="sem ocorrência","FP",""))</f>
        <v/>
      </c>
      <c r="H1121" s="7" t="n"/>
      <c r="I1121" s="8">
        <f>IF(H1121&lt;&gt;"",H1121,G1121)</f>
        <v/>
      </c>
    </row>
    <row r="1122">
      <c r="A1122" s="9" t="n"/>
      <c r="B1122" s="9" t="n"/>
      <c r="C1122" s="9" t="n"/>
      <c r="D1122" s="9" t="n"/>
      <c r="E1122" s="9" t="n"/>
      <c r="F1122" s="8">
        <f>IF(A1122="","",IFERROR(INDEX(Testes!$N$2:$N$500,MATCH(A1122,Testes!$A$2:$A$500,0)),""))</f>
        <v/>
      </c>
      <c r="G1122" s="8">
        <f>IF(F1122="ocorrência","VP",IF(F1122="sem ocorrência","FP",""))</f>
        <v/>
      </c>
      <c r="H1122" s="7" t="n"/>
      <c r="I1122" s="8">
        <f>IF(H1122&lt;&gt;"",H1122,G1122)</f>
        <v/>
      </c>
    </row>
    <row r="1123">
      <c r="A1123" s="9" t="n"/>
      <c r="B1123" s="9" t="n"/>
      <c r="C1123" s="9" t="n"/>
      <c r="D1123" s="9" t="n"/>
      <c r="E1123" s="9" t="n"/>
      <c r="F1123" s="8">
        <f>IF(A1123="","",IFERROR(INDEX(Testes!$N$2:$N$500,MATCH(A1123,Testes!$A$2:$A$500,0)),""))</f>
        <v/>
      </c>
      <c r="G1123" s="8">
        <f>IF(F1123="ocorrência","VP",IF(F1123="sem ocorrência","FP",""))</f>
        <v/>
      </c>
      <c r="H1123" s="7" t="n"/>
      <c r="I1123" s="8">
        <f>IF(H1123&lt;&gt;"",H1123,G1123)</f>
        <v/>
      </c>
    </row>
    <row r="1124">
      <c r="A1124" s="9" t="n"/>
      <c r="B1124" s="9" t="n"/>
      <c r="C1124" s="9" t="n"/>
      <c r="D1124" s="9" t="n"/>
      <c r="E1124" s="9" t="n"/>
      <c r="F1124" s="8">
        <f>IF(A1124="","",IFERROR(INDEX(Testes!$N$2:$N$500,MATCH(A1124,Testes!$A$2:$A$500,0)),""))</f>
        <v/>
      </c>
      <c r="G1124" s="8">
        <f>IF(F1124="ocorrência","VP",IF(F1124="sem ocorrência","FP",""))</f>
        <v/>
      </c>
      <c r="H1124" s="7" t="n"/>
      <c r="I1124" s="8">
        <f>IF(H1124&lt;&gt;"",H1124,G1124)</f>
        <v/>
      </c>
    </row>
    <row r="1125">
      <c r="A1125" s="9" t="n"/>
      <c r="B1125" s="9" t="n"/>
      <c r="C1125" s="9" t="n"/>
      <c r="D1125" s="9" t="n"/>
      <c r="E1125" s="9" t="n"/>
      <c r="F1125" s="8">
        <f>IF(A1125="","",IFERROR(INDEX(Testes!$N$2:$N$500,MATCH(A1125,Testes!$A$2:$A$500,0)),""))</f>
        <v/>
      </c>
      <c r="G1125" s="8">
        <f>IF(F1125="ocorrência","VP",IF(F1125="sem ocorrência","FP",""))</f>
        <v/>
      </c>
      <c r="H1125" s="7" t="n"/>
      <c r="I1125" s="8">
        <f>IF(H1125&lt;&gt;"",H1125,G1125)</f>
        <v/>
      </c>
    </row>
    <row r="1126">
      <c r="A1126" s="9" t="n"/>
      <c r="B1126" s="9" t="n"/>
      <c r="C1126" s="9" t="n"/>
      <c r="D1126" s="9" t="n"/>
      <c r="E1126" s="9" t="n"/>
      <c r="F1126" s="8">
        <f>IF(A1126="","",IFERROR(INDEX(Testes!$N$2:$N$500,MATCH(A1126,Testes!$A$2:$A$500,0)),""))</f>
        <v/>
      </c>
      <c r="G1126" s="8">
        <f>IF(F1126="ocorrência","VP",IF(F1126="sem ocorrência","FP",""))</f>
        <v/>
      </c>
      <c r="H1126" s="7" t="n"/>
      <c r="I1126" s="8">
        <f>IF(H1126&lt;&gt;"",H1126,G1126)</f>
        <v/>
      </c>
    </row>
    <row r="1127">
      <c r="A1127" s="9" t="n"/>
      <c r="B1127" s="9" t="n"/>
      <c r="C1127" s="9" t="n"/>
      <c r="D1127" s="9" t="n"/>
      <c r="E1127" s="9" t="n"/>
      <c r="F1127" s="8">
        <f>IF(A1127="","",IFERROR(INDEX(Testes!$N$2:$N$500,MATCH(A1127,Testes!$A$2:$A$500,0)),""))</f>
        <v/>
      </c>
      <c r="G1127" s="8">
        <f>IF(F1127="ocorrência","VP",IF(F1127="sem ocorrência","FP",""))</f>
        <v/>
      </c>
      <c r="H1127" s="7" t="n"/>
      <c r="I1127" s="8">
        <f>IF(H1127&lt;&gt;"",H1127,G1127)</f>
        <v/>
      </c>
    </row>
    <row r="1128">
      <c r="A1128" s="9" t="n"/>
      <c r="B1128" s="9" t="n"/>
      <c r="C1128" s="9" t="n"/>
      <c r="D1128" s="9" t="n"/>
      <c r="E1128" s="9" t="n"/>
      <c r="F1128" s="8">
        <f>IF(A1128="","",IFERROR(INDEX(Testes!$N$2:$N$500,MATCH(A1128,Testes!$A$2:$A$500,0)),""))</f>
        <v/>
      </c>
      <c r="G1128" s="8">
        <f>IF(F1128="ocorrência","VP",IF(F1128="sem ocorrência","FP",""))</f>
        <v/>
      </c>
      <c r="H1128" s="7" t="n"/>
      <c r="I1128" s="8">
        <f>IF(H1128&lt;&gt;"",H1128,G1128)</f>
        <v/>
      </c>
    </row>
    <row r="1129">
      <c r="A1129" s="9" t="n"/>
      <c r="B1129" s="9" t="n"/>
      <c r="C1129" s="9" t="n"/>
      <c r="D1129" s="9" t="n"/>
      <c r="E1129" s="9" t="n"/>
      <c r="F1129" s="8">
        <f>IF(A1129="","",IFERROR(INDEX(Testes!$N$2:$N$500,MATCH(A1129,Testes!$A$2:$A$500,0)),""))</f>
        <v/>
      </c>
      <c r="G1129" s="8">
        <f>IF(F1129="ocorrência","VP",IF(F1129="sem ocorrência","FP",""))</f>
        <v/>
      </c>
      <c r="H1129" s="7" t="n"/>
      <c r="I1129" s="8">
        <f>IF(H1129&lt;&gt;"",H1129,G1129)</f>
        <v/>
      </c>
    </row>
    <row r="1130">
      <c r="A1130" s="9" t="n"/>
      <c r="B1130" s="9" t="n"/>
      <c r="C1130" s="9" t="n"/>
      <c r="D1130" s="9" t="n"/>
      <c r="E1130" s="9" t="n"/>
      <c r="F1130" s="8">
        <f>IF(A1130="","",IFERROR(INDEX(Testes!$N$2:$N$500,MATCH(A1130,Testes!$A$2:$A$500,0)),""))</f>
        <v/>
      </c>
      <c r="G1130" s="8">
        <f>IF(F1130="ocorrência","VP",IF(F1130="sem ocorrência","FP",""))</f>
        <v/>
      </c>
      <c r="H1130" s="7" t="n"/>
      <c r="I1130" s="8">
        <f>IF(H1130&lt;&gt;"",H1130,G1130)</f>
        <v/>
      </c>
    </row>
    <row r="1131">
      <c r="A1131" s="9" t="n"/>
      <c r="B1131" s="9" t="n"/>
      <c r="C1131" s="9" t="n"/>
      <c r="D1131" s="9" t="n"/>
      <c r="E1131" s="9" t="n"/>
      <c r="F1131" s="8">
        <f>IF(A1131="","",IFERROR(INDEX(Testes!$N$2:$N$500,MATCH(A1131,Testes!$A$2:$A$500,0)),""))</f>
        <v/>
      </c>
      <c r="G1131" s="8">
        <f>IF(F1131="ocorrência","VP",IF(F1131="sem ocorrência","FP",""))</f>
        <v/>
      </c>
      <c r="H1131" s="7" t="n"/>
      <c r="I1131" s="8">
        <f>IF(H1131&lt;&gt;"",H1131,G1131)</f>
        <v/>
      </c>
    </row>
    <row r="1132">
      <c r="A1132" s="9" t="n"/>
      <c r="B1132" s="9" t="n"/>
      <c r="C1132" s="9" t="n"/>
      <c r="D1132" s="9" t="n"/>
      <c r="E1132" s="9" t="n"/>
      <c r="F1132" s="8">
        <f>IF(A1132="","",IFERROR(INDEX(Testes!$N$2:$N$500,MATCH(A1132,Testes!$A$2:$A$500,0)),""))</f>
        <v/>
      </c>
      <c r="G1132" s="8">
        <f>IF(F1132="ocorrência","VP",IF(F1132="sem ocorrência","FP",""))</f>
        <v/>
      </c>
      <c r="H1132" s="7" t="n"/>
      <c r="I1132" s="8">
        <f>IF(H1132&lt;&gt;"",H1132,G1132)</f>
        <v/>
      </c>
    </row>
    <row r="1133">
      <c r="A1133" s="9" t="n"/>
      <c r="B1133" s="9" t="n"/>
      <c r="C1133" s="9" t="n"/>
      <c r="D1133" s="9" t="n"/>
      <c r="E1133" s="9" t="n"/>
      <c r="F1133" s="8">
        <f>IF(A1133="","",IFERROR(INDEX(Testes!$N$2:$N$500,MATCH(A1133,Testes!$A$2:$A$500,0)),""))</f>
        <v/>
      </c>
      <c r="G1133" s="8">
        <f>IF(F1133="ocorrência","VP",IF(F1133="sem ocorrência","FP",""))</f>
        <v/>
      </c>
      <c r="H1133" s="7" t="n"/>
      <c r="I1133" s="8">
        <f>IF(H1133&lt;&gt;"",H1133,G1133)</f>
        <v/>
      </c>
    </row>
    <row r="1134">
      <c r="A1134" s="9" t="n"/>
      <c r="B1134" s="9" t="n"/>
      <c r="C1134" s="9" t="n"/>
      <c r="D1134" s="9" t="n"/>
      <c r="E1134" s="9" t="n"/>
      <c r="F1134" s="8">
        <f>IF(A1134="","",IFERROR(INDEX(Testes!$N$2:$N$500,MATCH(A1134,Testes!$A$2:$A$500,0)),""))</f>
        <v/>
      </c>
      <c r="G1134" s="8">
        <f>IF(F1134="ocorrência","VP",IF(F1134="sem ocorrência","FP",""))</f>
        <v/>
      </c>
      <c r="H1134" s="7" t="n"/>
      <c r="I1134" s="8">
        <f>IF(H1134&lt;&gt;"",H1134,G1134)</f>
        <v/>
      </c>
    </row>
    <row r="1135">
      <c r="A1135" s="9" t="n"/>
      <c r="B1135" s="9" t="n"/>
      <c r="C1135" s="9" t="n"/>
      <c r="D1135" s="9" t="n"/>
      <c r="E1135" s="9" t="n"/>
      <c r="F1135" s="8">
        <f>IF(A1135="","",IFERROR(INDEX(Testes!$N$2:$N$500,MATCH(A1135,Testes!$A$2:$A$500,0)),""))</f>
        <v/>
      </c>
      <c r="G1135" s="8">
        <f>IF(F1135="ocorrência","VP",IF(F1135="sem ocorrência","FP",""))</f>
        <v/>
      </c>
      <c r="H1135" s="7" t="n"/>
      <c r="I1135" s="8">
        <f>IF(H1135&lt;&gt;"",H1135,G1135)</f>
        <v/>
      </c>
    </row>
    <row r="1136">
      <c r="A1136" s="9" t="n"/>
      <c r="B1136" s="9" t="n"/>
      <c r="C1136" s="9" t="n"/>
      <c r="D1136" s="9" t="n"/>
      <c r="E1136" s="9" t="n"/>
      <c r="F1136" s="8">
        <f>IF(A1136="","",IFERROR(INDEX(Testes!$N$2:$N$500,MATCH(A1136,Testes!$A$2:$A$500,0)),""))</f>
        <v/>
      </c>
      <c r="G1136" s="8">
        <f>IF(F1136="ocorrência","VP",IF(F1136="sem ocorrência","FP",""))</f>
        <v/>
      </c>
      <c r="H1136" s="7" t="n"/>
      <c r="I1136" s="8">
        <f>IF(H1136&lt;&gt;"",H1136,G1136)</f>
        <v/>
      </c>
    </row>
    <row r="1137">
      <c r="A1137" s="9" t="n"/>
      <c r="B1137" s="9" t="n"/>
      <c r="C1137" s="9" t="n"/>
      <c r="D1137" s="9" t="n"/>
      <c r="E1137" s="9" t="n"/>
      <c r="F1137" s="8">
        <f>IF(A1137="","",IFERROR(INDEX(Testes!$N$2:$N$500,MATCH(A1137,Testes!$A$2:$A$500,0)),""))</f>
        <v/>
      </c>
      <c r="G1137" s="8">
        <f>IF(F1137="ocorrência","VP",IF(F1137="sem ocorrência","FP",""))</f>
        <v/>
      </c>
      <c r="H1137" s="7" t="n"/>
      <c r="I1137" s="8">
        <f>IF(H1137&lt;&gt;"",H1137,G1137)</f>
        <v/>
      </c>
    </row>
    <row r="1138">
      <c r="A1138" s="9" t="n"/>
      <c r="B1138" s="9" t="n"/>
      <c r="C1138" s="9" t="n"/>
      <c r="D1138" s="9" t="n"/>
      <c r="E1138" s="9" t="n"/>
      <c r="F1138" s="8">
        <f>IF(A1138="","",IFERROR(INDEX(Testes!$N$2:$N$500,MATCH(A1138,Testes!$A$2:$A$500,0)),""))</f>
        <v/>
      </c>
      <c r="G1138" s="8">
        <f>IF(F1138="ocorrência","VP",IF(F1138="sem ocorrência","FP",""))</f>
        <v/>
      </c>
      <c r="H1138" s="7" t="n"/>
      <c r="I1138" s="8">
        <f>IF(H1138&lt;&gt;"",H1138,G1138)</f>
        <v/>
      </c>
    </row>
    <row r="1139">
      <c r="A1139" s="9" t="n"/>
      <c r="B1139" s="9" t="n"/>
      <c r="C1139" s="9" t="n"/>
      <c r="D1139" s="9" t="n"/>
      <c r="E1139" s="9" t="n"/>
      <c r="F1139" s="8">
        <f>IF(A1139="","",IFERROR(INDEX(Testes!$N$2:$N$500,MATCH(A1139,Testes!$A$2:$A$500,0)),""))</f>
        <v/>
      </c>
      <c r="G1139" s="8">
        <f>IF(F1139="ocorrência","VP",IF(F1139="sem ocorrência","FP",""))</f>
        <v/>
      </c>
      <c r="H1139" s="7" t="n"/>
      <c r="I1139" s="8">
        <f>IF(H1139&lt;&gt;"",H1139,G1139)</f>
        <v/>
      </c>
    </row>
    <row r="1140">
      <c r="A1140" s="9" t="n"/>
      <c r="B1140" s="9" t="n"/>
      <c r="C1140" s="9" t="n"/>
      <c r="D1140" s="9" t="n"/>
      <c r="E1140" s="9" t="n"/>
      <c r="F1140" s="8">
        <f>IF(A1140="","",IFERROR(INDEX(Testes!$N$2:$N$500,MATCH(A1140,Testes!$A$2:$A$500,0)),""))</f>
        <v/>
      </c>
      <c r="G1140" s="8">
        <f>IF(F1140="ocorrência","VP",IF(F1140="sem ocorrência","FP",""))</f>
        <v/>
      </c>
      <c r="H1140" s="7" t="n"/>
      <c r="I1140" s="8">
        <f>IF(H1140&lt;&gt;"",H1140,G1140)</f>
        <v/>
      </c>
    </row>
    <row r="1141">
      <c r="A1141" s="9" t="n"/>
      <c r="B1141" s="9" t="n"/>
      <c r="C1141" s="9" t="n"/>
      <c r="D1141" s="9" t="n"/>
      <c r="E1141" s="9" t="n"/>
      <c r="F1141" s="8">
        <f>IF(A1141="","",IFERROR(INDEX(Testes!$N$2:$N$500,MATCH(A1141,Testes!$A$2:$A$500,0)),""))</f>
        <v/>
      </c>
      <c r="G1141" s="8">
        <f>IF(F1141="ocorrência","VP",IF(F1141="sem ocorrência","FP",""))</f>
        <v/>
      </c>
      <c r="H1141" s="7" t="n"/>
      <c r="I1141" s="8">
        <f>IF(H1141&lt;&gt;"",H1141,G1141)</f>
        <v/>
      </c>
    </row>
    <row r="1142">
      <c r="A1142" s="9" t="n"/>
      <c r="B1142" s="9" t="n"/>
      <c r="C1142" s="9" t="n"/>
      <c r="D1142" s="9" t="n"/>
      <c r="E1142" s="9" t="n"/>
      <c r="F1142" s="8">
        <f>IF(A1142="","",IFERROR(INDEX(Testes!$N$2:$N$500,MATCH(A1142,Testes!$A$2:$A$500,0)),""))</f>
        <v/>
      </c>
      <c r="G1142" s="8">
        <f>IF(F1142="ocorrência","VP",IF(F1142="sem ocorrência","FP",""))</f>
        <v/>
      </c>
      <c r="H1142" s="7" t="n"/>
      <c r="I1142" s="8">
        <f>IF(H1142&lt;&gt;"",H1142,G1142)</f>
        <v/>
      </c>
    </row>
    <row r="1143">
      <c r="A1143" s="9" t="n"/>
      <c r="B1143" s="9" t="n"/>
      <c r="C1143" s="9" t="n"/>
      <c r="D1143" s="9" t="n"/>
      <c r="E1143" s="9" t="n"/>
      <c r="F1143" s="8">
        <f>IF(A1143="","",IFERROR(INDEX(Testes!$N$2:$N$500,MATCH(A1143,Testes!$A$2:$A$500,0)),""))</f>
        <v/>
      </c>
      <c r="G1143" s="8">
        <f>IF(F1143="ocorrência","VP",IF(F1143="sem ocorrência","FP",""))</f>
        <v/>
      </c>
      <c r="H1143" s="7" t="n"/>
      <c r="I1143" s="8">
        <f>IF(H1143&lt;&gt;"",H1143,G1143)</f>
        <v/>
      </c>
    </row>
    <row r="1144">
      <c r="A1144" s="9" t="n"/>
      <c r="B1144" s="9" t="n"/>
      <c r="C1144" s="9" t="n"/>
      <c r="D1144" s="9" t="n"/>
      <c r="E1144" s="9" t="n"/>
      <c r="F1144" s="8">
        <f>IF(A1144="","",IFERROR(INDEX(Testes!$N$2:$N$500,MATCH(A1144,Testes!$A$2:$A$500,0)),""))</f>
        <v/>
      </c>
      <c r="G1144" s="8">
        <f>IF(F1144="ocorrência","VP",IF(F1144="sem ocorrência","FP",""))</f>
        <v/>
      </c>
      <c r="H1144" s="7" t="n"/>
      <c r="I1144" s="8">
        <f>IF(H1144&lt;&gt;"",H1144,G1144)</f>
        <v/>
      </c>
    </row>
    <row r="1145">
      <c r="A1145" s="9" t="n"/>
      <c r="B1145" s="9" t="n"/>
      <c r="C1145" s="9" t="n"/>
      <c r="D1145" s="9" t="n"/>
      <c r="E1145" s="9" t="n"/>
      <c r="F1145" s="8">
        <f>IF(A1145="","",IFERROR(INDEX(Testes!$N$2:$N$500,MATCH(A1145,Testes!$A$2:$A$500,0)),""))</f>
        <v/>
      </c>
      <c r="G1145" s="8">
        <f>IF(F1145="ocorrência","VP",IF(F1145="sem ocorrência","FP",""))</f>
        <v/>
      </c>
      <c r="H1145" s="7" t="n"/>
      <c r="I1145" s="8">
        <f>IF(H1145&lt;&gt;"",H1145,G1145)</f>
        <v/>
      </c>
    </row>
    <row r="1146">
      <c r="A1146" s="9" t="n"/>
      <c r="B1146" s="9" t="n"/>
      <c r="C1146" s="9" t="n"/>
      <c r="D1146" s="9" t="n"/>
      <c r="E1146" s="9" t="n"/>
      <c r="F1146" s="8">
        <f>IF(A1146="","",IFERROR(INDEX(Testes!$N$2:$N$500,MATCH(A1146,Testes!$A$2:$A$500,0)),""))</f>
        <v/>
      </c>
      <c r="G1146" s="8">
        <f>IF(F1146="ocorrência","VP",IF(F1146="sem ocorrência","FP",""))</f>
        <v/>
      </c>
      <c r="H1146" s="7" t="n"/>
      <c r="I1146" s="8">
        <f>IF(H1146&lt;&gt;"",H1146,G1146)</f>
        <v/>
      </c>
    </row>
    <row r="1147">
      <c r="A1147" s="9" t="n"/>
      <c r="B1147" s="9" t="n"/>
      <c r="C1147" s="9" t="n"/>
      <c r="D1147" s="9" t="n"/>
      <c r="E1147" s="9" t="n"/>
      <c r="F1147" s="8">
        <f>IF(A1147="","",IFERROR(INDEX(Testes!$N$2:$N$500,MATCH(A1147,Testes!$A$2:$A$500,0)),""))</f>
        <v/>
      </c>
      <c r="G1147" s="8">
        <f>IF(F1147="ocorrência","VP",IF(F1147="sem ocorrência","FP",""))</f>
        <v/>
      </c>
      <c r="H1147" s="7" t="n"/>
      <c r="I1147" s="8">
        <f>IF(H1147&lt;&gt;"",H1147,G1147)</f>
        <v/>
      </c>
    </row>
    <row r="1148">
      <c r="A1148" s="9" t="n"/>
      <c r="B1148" s="9" t="n"/>
      <c r="C1148" s="9" t="n"/>
      <c r="D1148" s="9" t="n"/>
      <c r="E1148" s="9" t="n"/>
      <c r="F1148" s="8">
        <f>IF(A1148="","",IFERROR(INDEX(Testes!$N$2:$N$500,MATCH(A1148,Testes!$A$2:$A$500,0)),""))</f>
        <v/>
      </c>
      <c r="G1148" s="8">
        <f>IF(F1148="ocorrência","VP",IF(F1148="sem ocorrência","FP",""))</f>
        <v/>
      </c>
      <c r="H1148" s="7" t="n"/>
      <c r="I1148" s="8">
        <f>IF(H1148&lt;&gt;"",H1148,G1148)</f>
        <v/>
      </c>
    </row>
    <row r="1149">
      <c r="A1149" s="9" t="n"/>
      <c r="B1149" s="9" t="n"/>
      <c r="C1149" s="9" t="n"/>
      <c r="D1149" s="9" t="n"/>
      <c r="E1149" s="9" t="n"/>
      <c r="F1149" s="8">
        <f>IF(A1149="","",IFERROR(INDEX(Testes!$N$2:$N$500,MATCH(A1149,Testes!$A$2:$A$500,0)),""))</f>
        <v/>
      </c>
      <c r="G1149" s="8">
        <f>IF(F1149="ocorrência","VP",IF(F1149="sem ocorrência","FP",""))</f>
        <v/>
      </c>
      <c r="H1149" s="7" t="n"/>
      <c r="I1149" s="8">
        <f>IF(H1149&lt;&gt;"",H1149,G1149)</f>
        <v/>
      </c>
    </row>
    <row r="1150">
      <c r="A1150" s="9" t="n"/>
      <c r="B1150" s="9" t="n"/>
      <c r="C1150" s="9" t="n"/>
      <c r="D1150" s="9" t="n"/>
      <c r="E1150" s="9" t="n"/>
      <c r="F1150" s="8">
        <f>IF(A1150="","",IFERROR(INDEX(Testes!$N$2:$N$500,MATCH(A1150,Testes!$A$2:$A$500,0)),""))</f>
        <v/>
      </c>
      <c r="G1150" s="8">
        <f>IF(F1150="ocorrência","VP",IF(F1150="sem ocorrência","FP",""))</f>
        <v/>
      </c>
      <c r="H1150" s="7" t="n"/>
      <c r="I1150" s="8">
        <f>IF(H1150&lt;&gt;"",H1150,G1150)</f>
        <v/>
      </c>
    </row>
    <row r="1151">
      <c r="A1151" s="9" t="n"/>
      <c r="B1151" s="9" t="n"/>
      <c r="C1151" s="9" t="n"/>
      <c r="D1151" s="9" t="n"/>
      <c r="E1151" s="9" t="n"/>
      <c r="F1151" s="8">
        <f>IF(A1151="","",IFERROR(INDEX(Testes!$N$2:$N$500,MATCH(A1151,Testes!$A$2:$A$500,0)),""))</f>
        <v/>
      </c>
      <c r="G1151" s="8">
        <f>IF(F1151="ocorrência","VP",IF(F1151="sem ocorrência","FP",""))</f>
        <v/>
      </c>
      <c r="H1151" s="7" t="n"/>
      <c r="I1151" s="8">
        <f>IF(H1151&lt;&gt;"",H1151,G1151)</f>
        <v/>
      </c>
    </row>
    <row r="1152">
      <c r="A1152" s="9" t="n"/>
      <c r="B1152" s="9" t="n"/>
      <c r="C1152" s="9" t="n"/>
      <c r="D1152" s="9" t="n"/>
      <c r="E1152" s="9" t="n"/>
      <c r="F1152" s="8">
        <f>IF(A1152="","",IFERROR(INDEX(Testes!$N$2:$N$500,MATCH(A1152,Testes!$A$2:$A$500,0)),""))</f>
        <v/>
      </c>
      <c r="G1152" s="8">
        <f>IF(F1152="ocorrência","VP",IF(F1152="sem ocorrência","FP",""))</f>
        <v/>
      </c>
      <c r="H1152" s="7" t="n"/>
      <c r="I1152" s="8">
        <f>IF(H1152&lt;&gt;"",H1152,G1152)</f>
        <v/>
      </c>
    </row>
    <row r="1153">
      <c r="A1153" s="9" t="n"/>
      <c r="B1153" s="9" t="n"/>
      <c r="C1153" s="9" t="n"/>
      <c r="D1153" s="9" t="n"/>
      <c r="E1153" s="9" t="n"/>
      <c r="F1153" s="8">
        <f>IF(A1153="","",IFERROR(INDEX(Testes!$N$2:$N$500,MATCH(A1153,Testes!$A$2:$A$500,0)),""))</f>
        <v/>
      </c>
      <c r="G1153" s="8">
        <f>IF(F1153="ocorrência","VP",IF(F1153="sem ocorrência","FP",""))</f>
        <v/>
      </c>
      <c r="H1153" s="7" t="n"/>
      <c r="I1153" s="8">
        <f>IF(H1153&lt;&gt;"",H1153,G1153)</f>
        <v/>
      </c>
    </row>
    <row r="1154">
      <c r="A1154" s="9" t="n"/>
      <c r="B1154" s="9" t="n"/>
      <c r="C1154" s="9" t="n"/>
      <c r="D1154" s="9" t="n"/>
      <c r="E1154" s="9" t="n"/>
      <c r="F1154" s="8">
        <f>IF(A1154="","",IFERROR(INDEX(Testes!$N$2:$N$500,MATCH(A1154,Testes!$A$2:$A$500,0)),""))</f>
        <v/>
      </c>
      <c r="G1154" s="8">
        <f>IF(F1154="ocorrência","VP",IF(F1154="sem ocorrência","FP",""))</f>
        <v/>
      </c>
      <c r="H1154" s="7" t="n"/>
      <c r="I1154" s="8">
        <f>IF(H1154&lt;&gt;"",H1154,G1154)</f>
        <v/>
      </c>
    </row>
    <row r="1155">
      <c r="A1155" s="9" t="n"/>
      <c r="B1155" s="9" t="n"/>
      <c r="C1155" s="9" t="n"/>
      <c r="D1155" s="9" t="n"/>
      <c r="E1155" s="9" t="n"/>
      <c r="F1155" s="8">
        <f>IF(A1155="","",IFERROR(INDEX(Testes!$N$2:$N$500,MATCH(A1155,Testes!$A$2:$A$500,0)),""))</f>
        <v/>
      </c>
      <c r="G1155" s="8">
        <f>IF(F1155="ocorrência","VP",IF(F1155="sem ocorrência","FP",""))</f>
        <v/>
      </c>
      <c r="H1155" s="7" t="n"/>
      <c r="I1155" s="8">
        <f>IF(H1155&lt;&gt;"",H1155,G1155)</f>
        <v/>
      </c>
    </row>
    <row r="1156">
      <c r="A1156" s="9" t="n"/>
      <c r="B1156" s="9" t="n"/>
      <c r="C1156" s="9" t="n"/>
      <c r="D1156" s="9" t="n"/>
      <c r="E1156" s="9" t="n"/>
      <c r="F1156" s="8">
        <f>IF(A1156="","",IFERROR(INDEX(Testes!$N$2:$N$500,MATCH(A1156,Testes!$A$2:$A$500,0)),""))</f>
        <v/>
      </c>
      <c r="G1156" s="8">
        <f>IF(F1156="ocorrência","VP",IF(F1156="sem ocorrência","FP",""))</f>
        <v/>
      </c>
      <c r="H1156" s="7" t="n"/>
      <c r="I1156" s="8">
        <f>IF(H1156&lt;&gt;"",H1156,G1156)</f>
        <v/>
      </c>
    </row>
    <row r="1157">
      <c r="A1157" s="9" t="n"/>
      <c r="B1157" s="9" t="n"/>
      <c r="C1157" s="9" t="n"/>
      <c r="D1157" s="9" t="n"/>
      <c r="E1157" s="9" t="n"/>
      <c r="F1157" s="8">
        <f>IF(A1157="","",IFERROR(INDEX(Testes!$N$2:$N$500,MATCH(A1157,Testes!$A$2:$A$500,0)),""))</f>
        <v/>
      </c>
      <c r="G1157" s="8">
        <f>IF(F1157="ocorrência","VP",IF(F1157="sem ocorrência","FP",""))</f>
        <v/>
      </c>
      <c r="H1157" s="7" t="n"/>
      <c r="I1157" s="8">
        <f>IF(H1157&lt;&gt;"",H1157,G1157)</f>
        <v/>
      </c>
    </row>
    <row r="1158">
      <c r="A1158" s="9" t="n"/>
      <c r="B1158" s="9" t="n"/>
      <c r="C1158" s="9" t="n"/>
      <c r="D1158" s="9" t="n"/>
      <c r="E1158" s="9" t="n"/>
      <c r="F1158" s="8">
        <f>IF(A1158="","",IFERROR(INDEX(Testes!$N$2:$N$500,MATCH(A1158,Testes!$A$2:$A$500,0)),""))</f>
        <v/>
      </c>
      <c r="G1158" s="8">
        <f>IF(F1158="ocorrência","VP",IF(F1158="sem ocorrência","FP",""))</f>
        <v/>
      </c>
      <c r="H1158" s="7" t="n"/>
      <c r="I1158" s="8">
        <f>IF(H1158&lt;&gt;"",H1158,G1158)</f>
        <v/>
      </c>
    </row>
    <row r="1159">
      <c r="A1159" s="9" t="n"/>
      <c r="B1159" s="9" t="n"/>
      <c r="C1159" s="9" t="n"/>
      <c r="D1159" s="9" t="n"/>
      <c r="E1159" s="9" t="n"/>
      <c r="F1159" s="8">
        <f>IF(A1159="","",IFERROR(INDEX(Testes!$N$2:$N$500,MATCH(A1159,Testes!$A$2:$A$500,0)),""))</f>
        <v/>
      </c>
      <c r="G1159" s="8">
        <f>IF(F1159="ocorrência","VP",IF(F1159="sem ocorrência","FP",""))</f>
        <v/>
      </c>
      <c r="H1159" s="7" t="n"/>
      <c r="I1159" s="8">
        <f>IF(H1159&lt;&gt;"",H1159,G1159)</f>
        <v/>
      </c>
    </row>
    <row r="1160">
      <c r="A1160" s="9" t="n"/>
      <c r="B1160" s="9" t="n"/>
      <c r="C1160" s="9" t="n"/>
      <c r="D1160" s="9" t="n"/>
      <c r="E1160" s="9" t="n"/>
      <c r="F1160" s="8">
        <f>IF(A1160="","",IFERROR(INDEX(Testes!$N$2:$N$500,MATCH(A1160,Testes!$A$2:$A$500,0)),""))</f>
        <v/>
      </c>
      <c r="G1160" s="8">
        <f>IF(F1160="ocorrência","VP",IF(F1160="sem ocorrência","FP",""))</f>
        <v/>
      </c>
      <c r="H1160" s="7" t="n"/>
      <c r="I1160" s="8">
        <f>IF(H1160&lt;&gt;"",H1160,G1160)</f>
        <v/>
      </c>
    </row>
    <row r="1161">
      <c r="A1161" s="9" t="n"/>
      <c r="B1161" s="9" t="n"/>
      <c r="C1161" s="9" t="n"/>
      <c r="D1161" s="9" t="n"/>
      <c r="E1161" s="9" t="n"/>
      <c r="F1161" s="8">
        <f>IF(A1161="","",IFERROR(INDEX(Testes!$N$2:$N$500,MATCH(A1161,Testes!$A$2:$A$500,0)),""))</f>
        <v/>
      </c>
      <c r="G1161" s="8">
        <f>IF(F1161="ocorrência","VP",IF(F1161="sem ocorrência","FP",""))</f>
        <v/>
      </c>
      <c r="H1161" s="7" t="n"/>
      <c r="I1161" s="8">
        <f>IF(H1161&lt;&gt;"",H1161,G1161)</f>
        <v/>
      </c>
    </row>
    <row r="1162">
      <c r="A1162" s="9" t="n"/>
      <c r="B1162" s="9" t="n"/>
      <c r="C1162" s="9" t="n"/>
      <c r="D1162" s="9" t="n"/>
      <c r="E1162" s="9" t="n"/>
      <c r="F1162" s="8">
        <f>IF(A1162="","",IFERROR(INDEX(Testes!$N$2:$N$500,MATCH(A1162,Testes!$A$2:$A$500,0)),""))</f>
        <v/>
      </c>
      <c r="G1162" s="8">
        <f>IF(F1162="ocorrência","VP",IF(F1162="sem ocorrência","FP",""))</f>
        <v/>
      </c>
      <c r="H1162" s="7" t="n"/>
      <c r="I1162" s="8">
        <f>IF(H1162&lt;&gt;"",H1162,G1162)</f>
        <v/>
      </c>
    </row>
    <row r="1163">
      <c r="A1163" s="9" t="n"/>
      <c r="B1163" s="9" t="n"/>
      <c r="C1163" s="9" t="n"/>
      <c r="D1163" s="9" t="n"/>
      <c r="E1163" s="9" t="n"/>
      <c r="F1163" s="8">
        <f>IF(A1163="","",IFERROR(INDEX(Testes!$N$2:$N$500,MATCH(A1163,Testes!$A$2:$A$500,0)),""))</f>
        <v/>
      </c>
      <c r="G1163" s="8">
        <f>IF(F1163="ocorrência","VP",IF(F1163="sem ocorrência","FP",""))</f>
        <v/>
      </c>
      <c r="H1163" s="7" t="n"/>
      <c r="I1163" s="8">
        <f>IF(H1163&lt;&gt;"",H1163,G1163)</f>
        <v/>
      </c>
    </row>
    <row r="1164">
      <c r="A1164" s="9" t="n"/>
      <c r="B1164" s="9" t="n"/>
      <c r="C1164" s="9" t="n"/>
      <c r="D1164" s="9" t="n"/>
      <c r="E1164" s="9" t="n"/>
      <c r="F1164" s="8">
        <f>IF(A1164="","",IFERROR(INDEX(Testes!$N$2:$N$500,MATCH(A1164,Testes!$A$2:$A$500,0)),""))</f>
        <v/>
      </c>
      <c r="G1164" s="8">
        <f>IF(F1164="ocorrência","VP",IF(F1164="sem ocorrência","FP",""))</f>
        <v/>
      </c>
      <c r="H1164" s="7" t="n"/>
      <c r="I1164" s="8">
        <f>IF(H1164&lt;&gt;"",H1164,G1164)</f>
        <v/>
      </c>
    </row>
    <row r="1165">
      <c r="A1165" s="9" t="n"/>
      <c r="B1165" s="9" t="n"/>
      <c r="C1165" s="9" t="n"/>
      <c r="D1165" s="9" t="n"/>
      <c r="E1165" s="9" t="n"/>
      <c r="F1165" s="8">
        <f>IF(A1165="","",IFERROR(INDEX(Testes!$N$2:$N$500,MATCH(A1165,Testes!$A$2:$A$500,0)),""))</f>
        <v/>
      </c>
      <c r="G1165" s="8">
        <f>IF(F1165="ocorrência","VP",IF(F1165="sem ocorrência","FP",""))</f>
        <v/>
      </c>
      <c r="H1165" s="7" t="n"/>
      <c r="I1165" s="8">
        <f>IF(H1165&lt;&gt;"",H1165,G1165)</f>
        <v/>
      </c>
    </row>
    <row r="1166">
      <c r="A1166" s="9" t="n"/>
      <c r="B1166" s="9" t="n"/>
      <c r="C1166" s="9" t="n"/>
      <c r="D1166" s="9" t="n"/>
      <c r="E1166" s="9" t="n"/>
      <c r="F1166" s="8">
        <f>IF(A1166="","",IFERROR(INDEX(Testes!$N$2:$N$500,MATCH(A1166,Testes!$A$2:$A$500,0)),""))</f>
        <v/>
      </c>
      <c r="G1166" s="8">
        <f>IF(F1166="ocorrência","VP",IF(F1166="sem ocorrência","FP",""))</f>
        <v/>
      </c>
      <c r="H1166" s="7" t="n"/>
      <c r="I1166" s="8">
        <f>IF(H1166&lt;&gt;"",H1166,G1166)</f>
        <v/>
      </c>
    </row>
    <row r="1167">
      <c r="A1167" s="9" t="n"/>
      <c r="B1167" s="9" t="n"/>
      <c r="C1167" s="9" t="n"/>
      <c r="D1167" s="9" t="n"/>
      <c r="E1167" s="9" t="n"/>
      <c r="F1167" s="8">
        <f>IF(A1167="","",IFERROR(INDEX(Testes!$N$2:$N$500,MATCH(A1167,Testes!$A$2:$A$500,0)),""))</f>
        <v/>
      </c>
      <c r="G1167" s="8">
        <f>IF(F1167="ocorrência","VP",IF(F1167="sem ocorrência","FP",""))</f>
        <v/>
      </c>
      <c r="H1167" s="7" t="n"/>
      <c r="I1167" s="8">
        <f>IF(H1167&lt;&gt;"",H1167,G1167)</f>
        <v/>
      </c>
    </row>
    <row r="1168">
      <c r="A1168" s="9" t="n"/>
      <c r="B1168" s="9" t="n"/>
      <c r="C1168" s="9" t="n"/>
      <c r="D1168" s="9" t="n"/>
      <c r="E1168" s="9" t="n"/>
      <c r="F1168" s="8">
        <f>IF(A1168="","",IFERROR(INDEX(Testes!$N$2:$N$500,MATCH(A1168,Testes!$A$2:$A$500,0)),""))</f>
        <v/>
      </c>
      <c r="G1168" s="8">
        <f>IF(F1168="ocorrência","VP",IF(F1168="sem ocorrência","FP",""))</f>
        <v/>
      </c>
      <c r="H1168" s="7" t="n"/>
      <c r="I1168" s="8">
        <f>IF(H1168&lt;&gt;"",H1168,G1168)</f>
        <v/>
      </c>
    </row>
    <row r="1169">
      <c r="A1169" s="9" t="n"/>
      <c r="B1169" s="9" t="n"/>
      <c r="C1169" s="9" t="n"/>
      <c r="D1169" s="9" t="n"/>
      <c r="E1169" s="9" t="n"/>
      <c r="F1169" s="8">
        <f>IF(A1169="","",IFERROR(INDEX(Testes!$N$2:$N$500,MATCH(A1169,Testes!$A$2:$A$500,0)),""))</f>
        <v/>
      </c>
      <c r="G1169" s="8">
        <f>IF(F1169="ocorrência","VP",IF(F1169="sem ocorrência","FP",""))</f>
        <v/>
      </c>
      <c r="H1169" s="7" t="n"/>
      <c r="I1169" s="8">
        <f>IF(H1169&lt;&gt;"",H1169,G1169)</f>
        <v/>
      </c>
    </row>
    <row r="1170">
      <c r="A1170" s="9" t="n"/>
      <c r="B1170" s="9" t="n"/>
      <c r="C1170" s="9" t="n"/>
      <c r="D1170" s="9" t="n"/>
      <c r="E1170" s="9" t="n"/>
      <c r="F1170" s="8">
        <f>IF(A1170="","",IFERROR(INDEX(Testes!$N$2:$N$500,MATCH(A1170,Testes!$A$2:$A$500,0)),""))</f>
        <v/>
      </c>
      <c r="G1170" s="8">
        <f>IF(F1170="ocorrência","VP",IF(F1170="sem ocorrência","FP",""))</f>
        <v/>
      </c>
      <c r="H1170" s="7" t="n"/>
      <c r="I1170" s="8">
        <f>IF(H1170&lt;&gt;"",H1170,G1170)</f>
        <v/>
      </c>
    </row>
    <row r="1171">
      <c r="A1171" s="9" t="n"/>
      <c r="B1171" s="9" t="n"/>
      <c r="C1171" s="9" t="n"/>
      <c r="D1171" s="9" t="n"/>
      <c r="E1171" s="9" t="n"/>
      <c r="F1171" s="8">
        <f>IF(A1171="","",IFERROR(INDEX(Testes!$N$2:$N$500,MATCH(A1171,Testes!$A$2:$A$500,0)),""))</f>
        <v/>
      </c>
      <c r="G1171" s="8">
        <f>IF(F1171="ocorrência","VP",IF(F1171="sem ocorrência","FP",""))</f>
        <v/>
      </c>
      <c r="H1171" s="7" t="n"/>
      <c r="I1171" s="8">
        <f>IF(H1171&lt;&gt;"",H1171,G1171)</f>
        <v/>
      </c>
    </row>
    <row r="1172">
      <c r="A1172" s="9" t="n"/>
      <c r="B1172" s="9" t="n"/>
      <c r="C1172" s="9" t="n"/>
      <c r="D1172" s="9" t="n"/>
      <c r="E1172" s="9" t="n"/>
      <c r="F1172" s="8">
        <f>IF(A1172="","",IFERROR(INDEX(Testes!$N$2:$N$500,MATCH(A1172,Testes!$A$2:$A$500,0)),""))</f>
        <v/>
      </c>
      <c r="G1172" s="8">
        <f>IF(F1172="ocorrência","VP",IF(F1172="sem ocorrência","FP",""))</f>
        <v/>
      </c>
      <c r="H1172" s="7" t="n"/>
      <c r="I1172" s="8">
        <f>IF(H1172&lt;&gt;"",H1172,G1172)</f>
        <v/>
      </c>
    </row>
    <row r="1173">
      <c r="A1173" s="9" t="n"/>
      <c r="B1173" s="9" t="n"/>
      <c r="C1173" s="9" t="n"/>
      <c r="D1173" s="9" t="n"/>
      <c r="E1173" s="9" t="n"/>
      <c r="F1173" s="8">
        <f>IF(A1173="","",IFERROR(INDEX(Testes!$N$2:$N$500,MATCH(A1173,Testes!$A$2:$A$500,0)),""))</f>
        <v/>
      </c>
      <c r="G1173" s="8">
        <f>IF(F1173="ocorrência","VP",IF(F1173="sem ocorrência","FP",""))</f>
        <v/>
      </c>
      <c r="H1173" s="7" t="n"/>
      <c r="I1173" s="8">
        <f>IF(H1173&lt;&gt;"",H1173,G1173)</f>
        <v/>
      </c>
    </row>
    <row r="1174">
      <c r="A1174" s="9" t="n"/>
      <c r="B1174" s="9" t="n"/>
      <c r="C1174" s="9" t="n"/>
      <c r="D1174" s="9" t="n"/>
      <c r="E1174" s="9" t="n"/>
      <c r="F1174" s="8">
        <f>IF(A1174="","",IFERROR(INDEX(Testes!$N$2:$N$500,MATCH(A1174,Testes!$A$2:$A$500,0)),""))</f>
        <v/>
      </c>
      <c r="G1174" s="8">
        <f>IF(F1174="ocorrência","VP",IF(F1174="sem ocorrência","FP",""))</f>
        <v/>
      </c>
      <c r="H1174" s="7" t="n"/>
      <c r="I1174" s="8">
        <f>IF(H1174&lt;&gt;"",H1174,G1174)</f>
        <v/>
      </c>
    </row>
    <row r="1175">
      <c r="A1175" s="9" t="n"/>
      <c r="B1175" s="9" t="n"/>
      <c r="C1175" s="9" t="n"/>
      <c r="D1175" s="9" t="n"/>
      <c r="E1175" s="9" t="n"/>
      <c r="F1175" s="8">
        <f>IF(A1175="","",IFERROR(INDEX(Testes!$N$2:$N$500,MATCH(A1175,Testes!$A$2:$A$500,0)),""))</f>
        <v/>
      </c>
      <c r="G1175" s="8">
        <f>IF(F1175="ocorrência","VP",IF(F1175="sem ocorrência","FP",""))</f>
        <v/>
      </c>
      <c r="H1175" s="7" t="n"/>
      <c r="I1175" s="8">
        <f>IF(H1175&lt;&gt;"",H1175,G1175)</f>
        <v/>
      </c>
    </row>
    <row r="1176">
      <c r="A1176" s="9" t="n"/>
      <c r="B1176" s="9" t="n"/>
      <c r="C1176" s="9" t="n"/>
      <c r="D1176" s="9" t="n"/>
      <c r="E1176" s="9" t="n"/>
      <c r="F1176" s="8">
        <f>IF(A1176="","",IFERROR(INDEX(Testes!$N$2:$N$500,MATCH(A1176,Testes!$A$2:$A$500,0)),""))</f>
        <v/>
      </c>
      <c r="G1176" s="8">
        <f>IF(F1176="ocorrência","VP",IF(F1176="sem ocorrência","FP",""))</f>
        <v/>
      </c>
      <c r="H1176" s="7" t="n"/>
      <c r="I1176" s="8">
        <f>IF(H1176&lt;&gt;"",H1176,G1176)</f>
        <v/>
      </c>
    </row>
    <row r="1177">
      <c r="A1177" s="9" t="n"/>
      <c r="B1177" s="9" t="n"/>
      <c r="C1177" s="9" t="n"/>
      <c r="D1177" s="9" t="n"/>
      <c r="E1177" s="9" t="n"/>
      <c r="F1177" s="8">
        <f>IF(A1177="","",IFERROR(INDEX(Testes!$N$2:$N$500,MATCH(A1177,Testes!$A$2:$A$500,0)),""))</f>
        <v/>
      </c>
      <c r="G1177" s="8">
        <f>IF(F1177="ocorrência","VP",IF(F1177="sem ocorrência","FP",""))</f>
        <v/>
      </c>
      <c r="H1177" s="7" t="n"/>
      <c r="I1177" s="8">
        <f>IF(H1177&lt;&gt;"",H1177,G1177)</f>
        <v/>
      </c>
    </row>
    <row r="1178">
      <c r="A1178" s="9" t="n"/>
      <c r="B1178" s="9" t="n"/>
      <c r="C1178" s="9" t="n"/>
      <c r="D1178" s="9" t="n"/>
      <c r="E1178" s="9" t="n"/>
      <c r="F1178" s="8">
        <f>IF(A1178="","",IFERROR(INDEX(Testes!$N$2:$N$500,MATCH(A1178,Testes!$A$2:$A$500,0)),""))</f>
        <v/>
      </c>
      <c r="G1178" s="8">
        <f>IF(F1178="ocorrência","VP",IF(F1178="sem ocorrência","FP",""))</f>
        <v/>
      </c>
      <c r="H1178" s="7" t="n"/>
      <c r="I1178" s="8">
        <f>IF(H1178&lt;&gt;"",H1178,G1178)</f>
        <v/>
      </c>
    </row>
    <row r="1179">
      <c r="A1179" s="9" t="n"/>
      <c r="B1179" s="9" t="n"/>
      <c r="C1179" s="9" t="n"/>
      <c r="D1179" s="9" t="n"/>
      <c r="E1179" s="9" t="n"/>
      <c r="F1179" s="8">
        <f>IF(A1179="","",IFERROR(INDEX(Testes!$N$2:$N$500,MATCH(A1179,Testes!$A$2:$A$500,0)),""))</f>
        <v/>
      </c>
      <c r="G1179" s="8">
        <f>IF(F1179="ocorrência","VP",IF(F1179="sem ocorrência","FP",""))</f>
        <v/>
      </c>
      <c r="H1179" s="7" t="n"/>
      <c r="I1179" s="8">
        <f>IF(H1179&lt;&gt;"",H1179,G1179)</f>
        <v/>
      </c>
    </row>
    <row r="1180">
      <c r="A1180" s="9" t="n"/>
      <c r="B1180" s="9" t="n"/>
      <c r="C1180" s="9" t="n"/>
      <c r="D1180" s="9" t="n"/>
      <c r="E1180" s="9" t="n"/>
      <c r="F1180" s="8">
        <f>IF(A1180="","",IFERROR(INDEX(Testes!$N$2:$N$500,MATCH(A1180,Testes!$A$2:$A$500,0)),""))</f>
        <v/>
      </c>
      <c r="G1180" s="8">
        <f>IF(F1180="ocorrência","VP",IF(F1180="sem ocorrência","FP",""))</f>
        <v/>
      </c>
      <c r="H1180" s="7" t="n"/>
      <c r="I1180" s="8">
        <f>IF(H1180&lt;&gt;"",H1180,G1180)</f>
        <v/>
      </c>
    </row>
    <row r="1181">
      <c r="A1181" s="9" t="n"/>
      <c r="B1181" s="9" t="n"/>
      <c r="C1181" s="9" t="n"/>
      <c r="D1181" s="9" t="n"/>
      <c r="E1181" s="9" t="n"/>
      <c r="F1181" s="8">
        <f>IF(A1181="","",IFERROR(INDEX(Testes!$N$2:$N$500,MATCH(A1181,Testes!$A$2:$A$500,0)),""))</f>
        <v/>
      </c>
      <c r="G1181" s="8">
        <f>IF(F1181="ocorrência","VP",IF(F1181="sem ocorrência","FP",""))</f>
        <v/>
      </c>
      <c r="H1181" s="7" t="n"/>
      <c r="I1181" s="8">
        <f>IF(H1181&lt;&gt;"",H1181,G1181)</f>
        <v/>
      </c>
    </row>
    <row r="1182">
      <c r="A1182" s="9" t="n"/>
      <c r="B1182" s="9" t="n"/>
      <c r="C1182" s="9" t="n"/>
      <c r="D1182" s="9" t="n"/>
      <c r="E1182" s="9" t="n"/>
      <c r="F1182" s="8">
        <f>IF(A1182="","",IFERROR(INDEX(Testes!$N$2:$N$500,MATCH(A1182,Testes!$A$2:$A$500,0)),""))</f>
        <v/>
      </c>
      <c r="G1182" s="8">
        <f>IF(F1182="ocorrência","VP",IF(F1182="sem ocorrência","FP",""))</f>
        <v/>
      </c>
      <c r="H1182" s="7" t="n"/>
      <c r="I1182" s="8">
        <f>IF(H1182&lt;&gt;"",H1182,G1182)</f>
        <v/>
      </c>
    </row>
    <row r="1183">
      <c r="A1183" s="9" t="n"/>
      <c r="B1183" s="9" t="n"/>
      <c r="C1183" s="9" t="n"/>
      <c r="D1183" s="9" t="n"/>
      <c r="E1183" s="9" t="n"/>
      <c r="F1183" s="8">
        <f>IF(A1183="","",IFERROR(INDEX(Testes!$N$2:$N$500,MATCH(A1183,Testes!$A$2:$A$500,0)),""))</f>
        <v/>
      </c>
      <c r="G1183" s="8">
        <f>IF(F1183="ocorrência","VP",IF(F1183="sem ocorrência","FP",""))</f>
        <v/>
      </c>
      <c r="H1183" s="7" t="n"/>
      <c r="I1183" s="8">
        <f>IF(H1183&lt;&gt;"",H1183,G1183)</f>
        <v/>
      </c>
    </row>
    <row r="1184">
      <c r="A1184" s="9" t="n"/>
      <c r="B1184" s="9" t="n"/>
      <c r="C1184" s="9" t="n"/>
      <c r="D1184" s="9" t="n"/>
      <c r="E1184" s="9" t="n"/>
      <c r="F1184" s="8">
        <f>IF(A1184="","",IFERROR(INDEX(Testes!$N$2:$N$500,MATCH(A1184,Testes!$A$2:$A$500,0)),""))</f>
        <v/>
      </c>
      <c r="G1184" s="8">
        <f>IF(F1184="ocorrência","VP",IF(F1184="sem ocorrência","FP",""))</f>
        <v/>
      </c>
      <c r="H1184" s="7" t="n"/>
      <c r="I1184" s="8">
        <f>IF(H1184&lt;&gt;"",H1184,G1184)</f>
        <v/>
      </c>
    </row>
    <row r="1185">
      <c r="A1185" s="9" t="n"/>
      <c r="B1185" s="9" t="n"/>
      <c r="C1185" s="9" t="n"/>
      <c r="D1185" s="9" t="n"/>
      <c r="E1185" s="9" t="n"/>
      <c r="F1185" s="8">
        <f>IF(A1185="","",IFERROR(INDEX(Testes!$N$2:$N$500,MATCH(A1185,Testes!$A$2:$A$500,0)),""))</f>
        <v/>
      </c>
      <c r="G1185" s="8">
        <f>IF(F1185="ocorrência","VP",IF(F1185="sem ocorrência","FP",""))</f>
        <v/>
      </c>
      <c r="H1185" s="7" t="n"/>
      <c r="I1185" s="8">
        <f>IF(H1185&lt;&gt;"",H1185,G1185)</f>
        <v/>
      </c>
    </row>
    <row r="1186">
      <c r="A1186" s="9" t="n"/>
      <c r="B1186" s="9" t="n"/>
      <c r="C1186" s="9" t="n"/>
      <c r="D1186" s="9" t="n"/>
      <c r="E1186" s="9" t="n"/>
      <c r="F1186" s="8">
        <f>IF(A1186="","",IFERROR(INDEX(Testes!$N$2:$N$500,MATCH(A1186,Testes!$A$2:$A$500,0)),""))</f>
        <v/>
      </c>
      <c r="G1186" s="8">
        <f>IF(F1186="ocorrência","VP",IF(F1186="sem ocorrência","FP",""))</f>
        <v/>
      </c>
      <c r="H1186" s="7" t="n"/>
      <c r="I1186" s="8">
        <f>IF(H1186&lt;&gt;"",H1186,G1186)</f>
        <v/>
      </c>
    </row>
    <row r="1187">
      <c r="A1187" s="9" t="n"/>
      <c r="B1187" s="9" t="n"/>
      <c r="C1187" s="9" t="n"/>
      <c r="D1187" s="9" t="n"/>
      <c r="E1187" s="9" t="n"/>
      <c r="F1187" s="8">
        <f>IF(A1187="","",IFERROR(INDEX(Testes!$N$2:$N$500,MATCH(A1187,Testes!$A$2:$A$500,0)),""))</f>
        <v/>
      </c>
      <c r="G1187" s="8">
        <f>IF(F1187="ocorrência","VP",IF(F1187="sem ocorrência","FP",""))</f>
        <v/>
      </c>
      <c r="H1187" s="7" t="n"/>
      <c r="I1187" s="8">
        <f>IF(H1187&lt;&gt;"",H1187,G1187)</f>
        <v/>
      </c>
    </row>
    <row r="1188">
      <c r="A1188" s="9" t="n"/>
      <c r="B1188" s="9" t="n"/>
      <c r="C1188" s="9" t="n"/>
      <c r="D1188" s="9" t="n"/>
      <c r="E1188" s="9" t="n"/>
      <c r="F1188" s="8">
        <f>IF(A1188="","",IFERROR(INDEX(Testes!$N$2:$N$500,MATCH(A1188,Testes!$A$2:$A$500,0)),""))</f>
        <v/>
      </c>
      <c r="G1188" s="8">
        <f>IF(F1188="ocorrência","VP",IF(F1188="sem ocorrência","FP",""))</f>
        <v/>
      </c>
      <c r="H1188" s="7" t="n"/>
      <c r="I1188" s="8">
        <f>IF(H1188&lt;&gt;"",H1188,G1188)</f>
        <v/>
      </c>
    </row>
    <row r="1189">
      <c r="A1189" s="9" t="n"/>
      <c r="B1189" s="9" t="n"/>
      <c r="C1189" s="9" t="n"/>
      <c r="D1189" s="9" t="n"/>
      <c r="E1189" s="9" t="n"/>
      <c r="F1189" s="8">
        <f>IF(A1189="","",IFERROR(INDEX(Testes!$N$2:$N$500,MATCH(A1189,Testes!$A$2:$A$500,0)),""))</f>
        <v/>
      </c>
      <c r="G1189" s="8">
        <f>IF(F1189="ocorrência","VP",IF(F1189="sem ocorrência","FP",""))</f>
        <v/>
      </c>
      <c r="H1189" s="7" t="n"/>
      <c r="I1189" s="8">
        <f>IF(H1189&lt;&gt;"",H1189,G1189)</f>
        <v/>
      </c>
    </row>
    <row r="1190">
      <c r="A1190" s="9" t="n"/>
      <c r="B1190" s="9" t="n"/>
      <c r="C1190" s="9" t="n"/>
      <c r="D1190" s="9" t="n"/>
      <c r="E1190" s="9" t="n"/>
      <c r="F1190" s="8">
        <f>IF(A1190="","",IFERROR(INDEX(Testes!$N$2:$N$500,MATCH(A1190,Testes!$A$2:$A$500,0)),""))</f>
        <v/>
      </c>
      <c r="G1190" s="8">
        <f>IF(F1190="ocorrência","VP",IF(F1190="sem ocorrência","FP",""))</f>
        <v/>
      </c>
      <c r="H1190" s="7" t="n"/>
      <c r="I1190" s="8">
        <f>IF(H1190&lt;&gt;"",H1190,G1190)</f>
        <v/>
      </c>
    </row>
    <row r="1191">
      <c r="A1191" s="9" t="n"/>
      <c r="B1191" s="9" t="n"/>
      <c r="C1191" s="9" t="n"/>
      <c r="D1191" s="9" t="n"/>
      <c r="E1191" s="9" t="n"/>
      <c r="F1191" s="8">
        <f>IF(A1191="","",IFERROR(INDEX(Testes!$N$2:$N$500,MATCH(A1191,Testes!$A$2:$A$500,0)),""))</f>
        <v/>
      </c>
      <c r="G1191" s="8">
        <f>IF(F1191="ocorrência","VP",IF(F1191="sem ocorrência","FP",""))</f>
        <v/>
      </c>
      <c r="H1191" s="7" t="n"/>
      <c r="I1191" s="8">
        <f>IF(H1191&lt;&gt;"",H1191,G1191)</f>
        <v/>
      </c>
    </row>
    <row r="1192">
      <c r="A1192" s="9" t="n"/>
      <c r="B1192" s="9" t="n"/>
      <c r="C1192" s="9" t="n"/>
      <c r="D1192" s="9" t="n"/>
      <c r="E1192" s="9" t="n"/>
      <c r="F1192" s="8">
        <f>IF(A1192="","",IFERROR(INDEX(Testes!$N$2:$N$500,MATCH(A1192,Testes!$A$2:$A$500,0)),""))</f>
        <v/>
      </c>
      <c r="G1192" s="8">
        <f>IF(F1192="ocorrência","VP",IF(F1192="sem ocorrência","FP",""))</f>
        <v/>
      </c>
      <c r="H1192" s="7" t="n"/>
      <c r="I1192" s="8">
        <f>IF(H1192&lt;&gt;"",H1192,G1192)</f>
        <v/>
      </c>
    </row>
    <row r="1193">
      <c r="A1193" s="9" t="n"/>
      <c r="B1193" s="9" t="n"/>
      <c r="C1193" s="9" t="n"/>
      <c r="D1193" s="9" t="n"/>
      <c r="E1193" s="9" t="n"/>
      <c r="F1193" s="8">
        <f>IF(A1193="","",IFERROR(INDEX(Testes!$N$2:$N$500,MATCH(A1193,Testes!$A$2:$A$500,0)),""))</f>
        <v/>
      </c>
      <c r="G1193" s="8">
        <f>IF(F1193="ocorrência","VP",IF(F1193="sem ocorrência","FP",""))</f>
        <v/>
      </c>
      <c r="H1193" s="7" t="n"/>
      <c r="I1193" s="8">
        <f>IF(H1193&lt;&gt;"",H1193,G1193)</f>
        <v/>
      </c>
    </row>
    <row r="1194">
      <c r="A1194" s="9" t="n"/>
      <c r="B1194" s="9" t="n"/>
      <c r="C1194" s="9" t="n"/>
      <c r="D1194" s="9" t="n"/>
      <c r="E1194" s="9" t="n"/>
      <c r="F1194" s="8">
        <f>IF(A1194="","",IFERROR(INDEX(Testes!$N$2:$N$500,MATCH(A1194,Testes!$A$2:$A$500,0)),""))</f>
        <v/>
      </c>
      <c r="G1194" s="8">
        <f>IF(F1194="ocorrência","VP",IF(F1194="sem ocorrência","FP",""))</f>
        <v/>
      </c>
      <c r="H1194" s="7" t="n"/>
      <c r="I1194" s="8">
        <f>IF(H1194&lt;&gt;"",H1194,G1194)</f>
        <v/>
      </c>
    </row>
    <row r="1195">
      <c r="A1195" s="9" t="n"/>
      <c r="B1195" s="9" t="n"/>
      <c r="C1195" s="9" t="n"/>
      <c r="D1195" s="9" t="n"/>
      <c r="E1195" s="9" t="n"/>
      <c r="F1195" s="8">
        <f>IF(A1195="","",IFERROR(INDEX(Testes!$N$2:$N$500,MATCH(A1195,Testes!$A$2:$A$500,0)),""))</f>
        <v/>
      </c>
      <c r="G1195" s="8">
        <f>IF(F1195="ocorrência","VP",IF(F1195="sem ocorrência","FP",""))</f>
        <v/>
      </c>
      <c r="H1195" s="7" t="n"/>
      <c r="I1195" s="8">
        <f>IF(H1195&lt;&gt;"",H1195,G1195)</f>
        <v/>
      </c>
    </row>
    <row r="1196">
      <c r="A1196" s="9" t="n"/>
      <c r="B1196" s="9" t="n"/>
      <c r="C1196" s="9" t="n"/>
      <c r="D1196" s="9" t="n"/>
      <c r="E1196" s="9" t="n"/>
      <c r="F1196" s="8">
        <f>IF(A1196="","",IFERROR(INDEX(Testes!$N$2:$N$500,MATCH(A1196,Testes!$A$2:$A$500,0)),""))</f>
        <v/>
      </c>
      <c r="G1196" s="8">
        <f>IF(F1196="ocorrência","VP",IF(F1196="sem ocorrência","FP",""))</f>
        <v/>
      </c>
      <c r="H1196" s="7" t="n"/>
      <c r="I1196" s="8">
        <f>IF(H1196&lt;&gt;"",H1196,G1196)</f>
        <v/>
      </c>
    </row>
    <row r="1197">
      <c r="A1197" s="9" t="n"/>
      <c r="B1197" s="9" t="n"/>
      <c r="C1197" s="9" t="n"/>
      <c r="D1197" s="9" t="n"/>
      <c r="E1197" s="9" t="n"/>
      <c r="F1197" s="8">
        <f>IF(A1197="","",IFERROR(INDEX(Testes!$N$2:$N$500,MATCH(A1197,Testes!$A$2:$A$500,0)),""))</f>
        <v/>
      </c>
      <c r="G1197" s="8">
        <f>IF(F1197="ocorrência","VP",IF(F1197="sem ocorrência","FP",""))</f>
        <v/>
      </c>
      <c r="H1197" s="7" t="n"/>
      <c r="I1197" s="8">
        <f>IF(H1197&lt;&gt;"",H1197,G1197)</f>
        <v/>
      </c>
    </row>
    <row r="1198">
      <c r="A1198" s="9" t="n"/>
      <c r="B1198" s="9" t="n"/>
      <c r="C1198" s="9" t="n"/>
      <c r="D1198" s="9" t="n"/>
      <c r="E1198" s="9" t="n"/>
      <c r="F1198" s="8">
        <f>IF(A1198="","",IFERROR(INDEX(Testes!$N$2:$N$500,MATCH(A1198,Testes!$A$2:$A$500,0)),""))</f>
        <v/>
      </c>
      <c r="G1198" s="8">
        <f>IF(F1198="ocorrência","VP",IF(F1198="sem ocorrência","FP",""))</f>
        <v/>
      </c>
      <c r="H1198" s="7" t="n"/>
      <c r="I1198" s="8">
        <f>IF(H1198&lt;&gt;"",H1198,G1198)</f>
        <v/>
      </c>
    </row>
    <row r="1199">
      <c r="A1199" s="9" t="n"/>
      <c r="B1199" s="9" t="n"/>
      <c r="C1199" s="9" t="n"/>
      <c r="D1199" s="9" t="n"/>
      <c r="E1199" s="9" t="n"/>
      <c r="F1199" s="8">
        <f>IF(A1199="","",IFERROR(INDEX(Testes!$N$2:$N$500,MATCH(A1199,Testes!$A$2:$A$500,0)),""))</f>
        <v/>
      </c>
      <c r="G1199" s="8">
        <f>IF(F1199="ocorrência","VP",IF(F1199="sem ocorrência","FP",""))</f>
        <v/>
      </c>
      <c r="H1199" s="7" t="n"/>
      <c r="I1199" s="8">
        <f>IF(H1199&lt;&gt;"",H1199,G1199)</f>
        <v/>
      </c>
    </row>
    <row r="1200">
      <c r="A1200" s="9" t="n"/>
      <c r="B1200" s="9" t="n"/>
      <c r="C1200" s="9" t="n"/>
      <c r="D1200" s="9" t="n"/>
      <c r="E1200" s="9" t="n"/>
      <c r="F1200" s="8">
        <f>IF(A1200="","",IFERROR(INDEX(Testes!$N$2:$N$500,MATCH(A1200,Testes!$A$2:$A$500,0)),""))</f>
        <v/>
      </c>
      <c r="G1200" s="8">
        <f>IF(F1200="ocorrência","VP",IF(F1200="sem ocorrência","FP",""))</f>
        <v/>
      </c>
      <c r="H1200" s="7" t="n"/>
      <c r="I1200" s="8">
        <f>IF(H1200&lt;&gt;"",H1200,G1200)</f>
        <v/>
      </c>
    </row>
    <row r="1201">
      <c r="A1201" s="9" t="n"/>
      <c r="B1201" s="9" t="n"/>
      <c r="C1201" s="9" t="n"/>
      <c r="D1201" s="9" t="n"/>
      <c r="E1201" s="9" t="n"/>
      <c r="F1201" s="8">
        <f>IF(A1201="","",IFERROR(INDEX(Testes!$N$2:$N$500,MATCH(A1201,Testes!$A$2:$A$500,0)),""))</f>
        <v/>
      </c>
      <c r="G1201" s="8">
        <f>IF(F1201="ocorrência","VP",IF(F1201="sem ocorrência","FP",""))</f>
        <v/>
      </c>
      <c r="H1201" s="7" t="n"/>
      <c r="I1201" s="8">
        <f>IF(H1201&lt;&gt;"",H1201,G1201)</f>
        <v/>
      </c>
    </row>
    <row r="1202">
      <c r="A1202" s="9" t="n"/>
      <c r="B1202" s="9" t="n"/>
      <c r="C1202" s="9" t="n"/>
      <c r="D1202" s="9" t="n"/>
      <c r="E1202" s="9" t="n"/>
      <c r="F1202" s="8">
        <f>IF(A1202="","",IFERROR(INDEX(Testes!$N$2:$N$500,MATCH(A1202,Testes!$A$2:$A$500,0)),""))</f>
        <v/>
      </c>
      <c r="G1202" s="8">
        <f>IF(F1202="ocorrência","VP",IF(F1202="sem ocorrência","FP",""))</f>
        <v/>
      </c>
      <c r="H1202" s="7" t="n"/>
      <c r="I1202" s="8">
        <f>IF(H1202&lt;&gt;"",H1202,G1202)</f>
        <v/>
      </c>
    </row>
    <row r="1203">
      <c r="A1203" s="9" t="n"/>
      <c r="B1203" s="9" t="n"/>
      <c r="C1203" s="9" t="n"/>
      <c r="D1203" s="9" t="n"/>
      <c r="E1203" s="9" t="n"/>
      <c r="F1203" s="8">
        <f>IF(A1203="","",IFERROR(INDEX(Testes!$N$2:$N$500,MATCH(A1203,Testes!$A$2:$A$500,0)),""))</f>
        <v/>
      </c>
      <c r="G1203" s="8">
        <f>IF(F1203="ocorrência","VP",IF(F1203="sem ocorrência","FP",""))</f>
        <v/>
      </c>
      <c r="H1203" s="7" t="n"/>
      <c r="I1203" s="8">
        <f>IF(H1203&lt;&gt;"",H1203,G1203)</f>
        <v/>
      </c>
    </row>
    <row r="1204">
      <c r="A1204" s="9" t="n"/>
      <c r="B1204" s="9" t="n"/>
      <c r="C1204" s="9" t="n"/>
      <c r="D1204" s="9" t="n"/>
      <c r="E1204" s="9" t="n"/>
      <c r="F1204" s="8">
        <f>IF(A1204="","",IFERROR(INDEX(Testes!$N$2:$N$500,MATCH(A1204,Testes!$A$2:$A$500,0)),""))</f>
        <v/>
      </c>
      <c r="G1204" s="8">
        <f>IF(F1204="ocorrência","VP",IF(F1204="sem ocorrência","FP",""))</f>
        <v/>
      </c>
      <c r="H1204" s="7" t="n"/>
      <c r="I1204" s="8">
        <f>IF(H1204&lt;&gt;"",H1204,G1204)</f>
        <v/>
      </c>
    </row>
    <row r="1205">
      <c r="A1205" s="9" t="n"/>
      <c r="B1205" s="9" t="n"/>
      <c r="C1205" s="9" t="n"/>
      <c r="D1205" s="9" t="n"/>
      <c r="E1205" s="9" t="n"/>
      <c r="F1205" s="8">
        <f>IF(A1205="","",IFERROR(INDEX(Testes!$N$2:$N$500,MATCH(A1205,Testes!$A$2:$A$500,0)),""))</f>
        <v/>
      </c>
      <c r="G1205" s="8">
        <f>IF(F1205="ocorrência","VP",IF(F1205="sem ocorrência","FP",""))</f>
        <v/>
      </c>
      <c r="H1205" s="7" t="n"/>
      <c r="I1205" s="8">
        <f>IF(H1205&lt;&gt;"",H1205,G1205)</f>
        <v/>
      </c>
    </row>
    <row r="1206">
      <c r="A1206" s="9" t="n"/>
      <c r="B1206" s="9" t="n"/>
      <c r="C1206" s="9" t="n"/>
      <c r="D1206" s="9" t="n"/>
      <c r="E1206" s="9" t="n"/>
      <c r="F1206" s="8">
        <f>IF(A1206="","",IFERROR(INDEX(Testes!$N$2:$N$500,MATCH(A1206,Testes!$A$2:$A$500,0)),""))</f>
        <v/>
      </c>
      <c r="G1206" s="8">
        <f>IF(F1206="ocorrência","VP",IF(F1206="sem ocorrência","FP",""))</f>
        <v/>
      </c>
      <c r="H1206" s="7" t="n"/>
      <c r="I1206" s="8">
        <f>IF(H1206&lt;&gt;"",H1206,G1206)</f>
        <v/>
      </c>
    </row>
    <row r="1207">
      <c r="A1207" s="9" t="n"/>
      <c r="B1207" s="9" t="n"/>
      <c r="C1207" s="9" t="n"/>
      <c r="D1207" s="9" t="n"/>
      <c r="E1207" s="9" t="n"/>
      <c r="F1207" s="8">
        <f>IF(A1207="","",IFERROR(INDEX(Testes!$N$2:$N$500,MATCH(A1207,Testes!$A$2:$A$500,0)),""))</f>
        <v/>
      </c>
      <c r="G1207" s="8">
        <f>IF(F1207="ocorrência","VP",IF(F1207="sem ocorrência","FP",""))</f>
        <v/>
      </c>
      <c r="H1207" s="7" t="n"/>
      <c r="I1207" s="8">
        <f>IF(H1207&lt;&gt;"",H1207,G1207)</f>
        <v/>
      </c>
    </row>
    <row r="1208">
      <c r="A1208" s="9" t="n"/>
      <c r="B1208" s="9" t="n"/>
      <c r="C1208" s="9" t="n"/>
      <c r="D1208" s="9" t="n"/>
      <c r="E1208" s="9" t="n"/>
      <c r="F1208" s="8">
        <f>IF(A1208="","",IFERROR(INDEX(Testes!$N$2:$N$500,MATCH(A1208,Testes!$A$2:$A$500,0)),""))</f>
        <v/>
      </c>
      <c r="G1208" s="8">
        <f>IF(F1208="ocorrência","VP",IF(F1208="sem ocorrência","FP",""))</f>
        <v/>
      </c>
      <c r="H1208" s="7" t="n"/>
      <c r="I1208" s="8">
        <f>IF(H1208&lt;&gt;"",H1208,G1208)</f>
        <v/>
      </c>
    </row>
    <row r="1209">
      <c r="A1209" s="9" t="n"/>
      <c r="B1209" s="9" t="n"/>
      <c r="C1209" s="9" t="n"/>
      <c r="D1209" s="9" t="n"/>
      <c r="E1209" s="9" t="n"/>
      <c r="F1209" s="8">
        <f>IF(A1209="","",IFERROR(INDEX(Testes!$N$2:$N$500,MATCH(A1209,Testes!$A$2:$A$500,0)),""))</f>
        <v/>
      </c>
      <c r="G1209" s="8">
        <f>IF(F1209="ocorrência","VP",IF(F1209="sem ocorrência","FP",""))</f>
        <v/>
      </c>
      <c r="H1209" s="7" t="n"/>
      <c r="I1209" s="8">
        <f>IF(H1209&lt;&gt;"",H1209,G1209)</f>
        <v/>
      </c>
    </row>
    <row r="1210">
      <c r="A1210" s="9" t="n"/>
      <c r="B1210" s="9" t="n"/>
      <c r="C1210" s="9" t="n"/>
      <c r="D1210" s="9" t="n"/>
      <c r="E1210" s="9" t="n"/>
      <c r="F1210" s="8">
        <f>IF(A1210="","",IFERROR(INDEX(Testes!$N$2:$N$500,MATCH(A1210,Testes!$A$2:$A$500,0)),""))</f>
        <v/>
      </c>
      <c r="G1210" s="8">
        <f>IF(F1210="ocorrência","VP",IF(F1210="sem ocorrência","FP",""))</f>
        <v/>
      </c>
      <c r="H1210" s="7" t="n"/>
      <c r="I1210" s="8">
        <f>IF(H1210&lt;&gt;"",H1210,G1210)</f>
        <v/>
      </c>
    </row>
    <row r="1211">
      <c r="A1211" s="9" t="n"/>
      <c r="B1211" s="9" t="n"/>
      <c r="C1211" s="9" t="n"/>
      <c r="D1211" s="9" t="n"/>
      <c r="E1211" s="9" t="n"/>
      <c r="F1211" s="8">
        <f>IF(A1211="","",IFERROR(INDEX(Testes!$N$2:$N$500,MATCH(A1211,Testes!$A$2:$A$500,0)),""))</f>
        <v/>
      </c>
      <c r="G1211" s="8">
        <f>IF(F1211="ocorrência","VP",IF(F1211="sem ocorrência","FP",""))</f>
        <v/>
      </c>
      <c r="H1211" s="7" t="n"/>
      <c r="I1211" s="8">
        <f>IF(H1211&lt;&gt;"",H1211,G1211)</f>
        <v/>
      </c>
    </row>
    <row r="1212">
      <c r="A1212" s="9" t="n"/>
      <c r="B1212" s="9" t="n"/>
      <c r="C1212" s="9" t="n"/>
      <c r="D1212" s="9" t="n"/>
      <c r="E1212" s="9" t="n"/>
      <c r="F1212" s="8">
        <f>IF(A1212="","",IFERROR(INDEX(Testes!$N$2:$N$500,MATCH(A1212,Testes!$A$2:$A$500,0)),""))</f>
        <v/>
      </c>
      <c r="G1212" s="8">
        <f>IF(F1212="ocorrência","VP",IF(F1212="sem ocorrência","FP",""))</f>
        <v/>
      </c>
      <c r="H1212" s="7" t="n"/>
      <c r="I1212" s="8">
        <f>IF(H1212&lt;&gt;"",H1212,G1212)</f>
        <v/>
      </c>
    </row>
    <row r="1213">
      <c r="A1213" s="9" t="n"/>
      <c r="B1213" s="9" t="n"/>
      <c r="C1213" s="9" t="n"/>
      <c r="D1213" s="9" t="n"/>
      <c r="E1213" s="9" t="n"/>
      <c r="F1213" s="8">
        <f>IF(A1213="","",IFERROR(INDEX(Testes!$N$2:$N$500,MATCH(A1213,Testes!$A$2:$A$500,0)),""))</f>
        <v/>
      </c>
      <c r="G1213" s="8">
        <f>IF(F1213="ocorrência","VP",IF(F1213="sem ocorrência","FP",""))</f>
        <v/>
      </c>
      <c r="H1213" s="7" t="n"/>
      <c r="I1213" s="8">
        <f>IF(H1213&lt;&gt;"",H1213,G1213)</f>
        <v/>
      </c>
    </row>
    <row r="1214">
      <c r="A1214" s="9" t="n"/>
      <c r="B1214" s="9" t="n"/>
      <c r="C1214" s="9" t="n"/>
      <c r="D1214" s="9" t="n"/>
      <c r="E1214" s="9" t="n"/>
      <c r="F1214" s="8">
        <f>IF(A1214="","",IFERROR(INDEX(Testes!$N$2:$N$500,MATCH(A1214,Testes!$A$2:$A$500,0)),""))</f>
        <v/>
      </c>
      <c r="G1214" s="8">
        <f>IF(F1214="ocorrência","VP",IF(F1214="sem ocorrência","FP",""))</f>
        <v/>
      </c>
      <c r="H1214" s="7" t="n"/>
      <c r="I1214" s="8">
        <f>IF(H1214&lt;&gt;"",H1214,G1214)</f>
        <v/>
      </c>
    </row>
    <row r="1215">
      <c r="A1215" s="9" t="n"/>
      <c r="B1215" s="9" t="n"/>
      <c r="C1215" s="9" t="n"/>
      <c r="D1215" s="9" t="n"/>
      <c r="E1215" s="9" t="n"/>
      <c r="F1215" s="8">
        <f>IF(A1215="","",IFERROR(INDEX(Testes!$N$2:$N$500,MATCH(A1215,Testes!$A$2:$A$500,0)),""))</f>
        <v/>
      </c>
      <c r="G1215" s="8">
        <f>IF(F1215="ocorrência","VP",IF(F1215="sem ocorrência","FP",""))</f>
        <v/>
      </c>
      <c r="H1215" s="7" t="n"/>
      <c r="I1215" s="8">
        <f>IF(H1215&lt;&gt;"",H1215,G1215)</f>
        <v/>
      </c>
    </row>
    <row r="1216">
      <c r="A1216" s="9" t="n"/>
      <c r="B1216" s="9" t="n"/>
      <c r="C1216" s="9" t="n"/>
      <c r="D1216" s="9" t="n"/>
      <c r="E1216" s="9" t="n"/>
      <c r="F1216" s="8">
        <f>IF(A1216="","",IFERROR(INDEX(Testes!$N$2:$N$500,MATCH(A1216,Testes!$A$2:$A$500,0)),""))</f>
        <v/>
      </c>
      <c r="G1216" s="8">
        <f>IF(F1216="ocorrência","VP",IF(F1216="sem ocorrência","FP",""))</f>
        <v/>
      </c>
      <c r="H1216" s="7" t="n"/>
      <c r="I1216" s="8">
        <f>IF(H1216&lt;&gt;"",H1216,G1216)</f>
        <v/>
      </c>
    </row>
    <row r="1217">
      <c r="A1217" s="9" t="n"/>
      <c r="B1217" s="9" t="n"/>
      <c r="C1217" s="9" t="n"/>
      <c r="D1217" s="9" t="n"/>
      <c r="E1217" s="9" t="n"/>
      <c r="F1217" s="8">
        <f>IF(A1217="","",IFERROR(INDEX(Testes!$N$2:$N$500,MATCH(A1217,Testes!$A$2:$A$500,0)),""))</f>
        <v/>
      </c>
      <c r="G1217" s="8">
        <f>IF(F1217="ocorrência","VP",IF(F1217="sem ocorrência","FP",""))</f>
        <v/>
      </c>
      <c r="H1217" s="7" t="n"/>
      <c r="I1217" s="8">
        <f>IF(H1217&lt;&gt;"",H1217,G1217)</f>
        <v/>
      </c>
    </row>
    <row r="1218">
      <c r="A1218" s="9" t="n"/>
      <c r="B1218" s="9" t="n"/>
      <c r="C1218" s="9" t="n"/>
      <c r="D1218" s="9" t="n"/>
      <c r="E1218" s="9" t="n"/>
      <c r="F1218" s="8">
        <f>IF(A1218="","",IFERROR(INDEX(Testes!$N$2:$N$500,MATCH(A1218,Testes!$A$2:$A$500,0)),""))</f>
        <v/>
      </c>
      <c r="G1218" s="8">
        <f>IF(F1218="ocorrência","VP",IF(F1218="sem ocorrência","FP",""))</f>
        <v/>
      </c>
      <c r="H1218" s="7" t="n"/>
      <c r="I1218" s="8">
        <f>IF(H1218&lt;&gt;"",H1218,G1218)</f>
        <v/>
      </c>
    </row>
    <row r="1219">
      <c r="A1219" s="9" t="n"/>
      <c r="B1219" s="9" t="n"/>
      <c r="C1219" s="9" t="n"/>
      <c r="D1219" s="9" t="n"/>
      <c r="E1219" s="9" t="n"/>
      <c r="F1219" s="8">
        <f>IF(A1219="","",IFERROR(INDEX(Testes!$N$2:$N$500,MATCH(A1219,Testes!$A$2:$A$500,0)),""))</f>
        <v/>
      </c>
      <c r="G1219" s="8">
        <f>IF(F1219="ocorrência","VP",IF(F1219="sem ocorrência","FP",""))</f>
        <v/>
      </c>
      <c r="H1219" s="7" t="n"/>
      <c r="I1219" s="8">
        <f>IF(H1219&lt;&gt;"",H1219,G1219)</f>
        <v/>
      </c>
    </row>
    <row r="1220">
      <c r="A1220" s="9" t="n"/>
      <c r="B1220" s="9" t="n"/>
      <c r="C1220" s="9" t="n"/>
      <c r="D1220" s="9" t="n"/>
      <c r="E1220" s="9" t="n"/>
      <c r="F1220" s="8">
        <f>IF(A1220="","",IFERROR(INDEX(Testes!$N$2:$N$500,MATCH(A1220,Testes!$A$2:$A$500,0)),""))</f>
        <v/>
      </c>
      <c r="G1220" s="8">
        <f>IF(F1220="ocorrência","VP",IF(F1220="sem ocorrência","FP",""))</f>
        <v/>
      </c>
      <c r="H1220" s="7" t="n"/>
      <c r="I1220" s="8">
        <f>IF(H1220&lt;&gt;"",H1220,G1220)</f>
        <v/>
      </c>
    </row>
    <row r="1221">
      <c r="A1221" s="9" t="n"/>
      <c r="B1221" s="9" t="n"/>
      <c r="C1221" s="9" t="n"/>
      <c r="D1221" s="9" t="n"/>
      <c r="E1221" s="9" t="n"/>
      <c r="F1221" s="8">
        <f>IF(A1221="","",IFERROR(INDEX(Testes!$N$2:$N$500,MATCH(A1221,Testes!$A$2:$A$500,0)),""))</f>
        <v/>
      </c>
      <c r="G1221" s="8">
        <f>IF(F1221="ocorrência","VP",IF(F1221="sem ocorrência","FP",""))</f>
        <v/>
      </c>
      <c r="H1221" s="7" t="n"/>
      <c r="I1221" s="8">
        <f>IF(H1221&lt;&gt;"",H1221,G1221)</f>
        <v/>
      </c>
    </row>
    <row r="1222">
      <c r="A1222" s="9" t="n"/>
      <c r="B1222" s="9" t="n"/>
      <c r="C1222" s="9" t="n"/>
      <c r="D1222" s="9" t="n"/>
      <c r="E1222" s="9" t="n"/>
      <c r="F1222" s="8">
        <f>IF(A1222="","",IFERROR(INDEX(Testes!$N$2:$N$500,MATCH(A1222,Testes!$A$2:$A$500,0)),""))</f>
        <v/>
      </c>
      <c r="G1222" s="8">
        <f>IF(F1222="ocorrência","VP",IF(F1222="sem ocorrência","FP",""))</f>
        <v/>
      </c>
      <c r="H1222" s="7" t="n"/>
      <c r="I1222" s="8">
        <f>IF(H1222&lt;&gt;"",H1222,G1222)</f>
        <v/>
      </c>
    </row>
    <row r="1223">
      <c r="A1223" s="9" t="n"/>
      <c r="B1223" s="9" t="n"/>
      <c r="C1223" s="9" t="n"/>
      <c r="D1223" s="9" t="n"/>
      <c r="E1223" s="9" t="n"/>
      <c r="F1223" s="8">
        <f>IF(A1223="","",IFERROR(INDEX(Testes!$N$2:$N$500,MATCH(A1223,Testes!$A$2:$A$500,0)),""))</f>
        <v/>
      </c>
      <c r="G1223" s="8">
        <f>IF(F1223="ocorrência","VP",IF(F1223="sem ocorrência","FP",""))</f>
        <v/>
      </c>
      <c r="H1223" s="7" t="n"/>
      <c r="I1223" s="8">
        <f>IF(H1223&lt;&gt;"",H1223,G1223)</f>
        <v/>
      </c>
    </row>
    <row r="1224">
      <c r="A1224" s="9" t="n"/>
      <c r="B1224" s="9" t="n"/>
      <c r="C1224" s="9" t="n"/>
      <c r="D1224" s="9" t="n"/>
      <c r="E1224" s="9" t="n"/>
      <c r="F1224" s="8">
        <f>IF(A1224="","",IFERROR(INDEX(Testes!$N$2:$N$500,MATCH(A1224,Testes!$A$2:$A$500,0)),""))</f>
        <v/>
      </c>
      <c r="G1224" s="8">
        <f>IF(F1224="ocorrência","VP",IF(F1224="sem ocorrência","FP",""))</f>
        <v/>
      </c>
      <c r="H1224" s="7" t="n"/>
      <c r="I1224" s="8">
        <f>IF(H1224&lt;&gt;"",H1224,G1224)</f>
        <v/>
      </c>
    </row>
    <row r="1225">
      <c r="A1225" s="9" t="n"/>
      <c r="B1225" s="9" t="n"/>
      <c r="C1225" s="9" t="n"/>
      <c r="D1225" s="9" t="n"/>
      <c r="E1225" s="9" t="n"/>
      <c r="F1225" s="8">
        <f>IF(A1225="","",IFERROR(INDEX(Testes!$N$2:$N$500,MATCH(A1225,Testes!$A$2:$A$500,0)),""))</f>
        <v/>
      </c>
      <c r="G1225" s="8">
        <f>IF(F1225="ocorrência","VP",IF(F1225="sem ocorrência","FP",""))</f>
        <v/>
      </c>
      <c r="H1225" s="7" t="n"/>
      <c r="I1225" s="8">
        <f>IF(H1225&lt;&gt;"",H1225,G1225)</f>
        <v/>
      </c>
    </row>
    <row r="1226">
      <c r="A1226" s="9" t="n"/>
      <c r="B1226" s="9" t="n"/>
      <c r="C1226" s="9" t="n"/>
      <c r="D1226" s="9" t="n"/>
      <c r="E1226" s="9" t="n"/>
      <c r="F1226" s="8">
        <f>IF(A1226="","",IFERROR(INDEX(Testes!$N$2:$N$500,MATCH(A1226,Testes!$A$2:$A$500,0)),""))</f>
        <v/>
      </c>
      <c r="G1226" s="8">
        <f>IF(F1226="ocorrência","VP",IF(F1226="sem ocorrência","FP",""))</f>
        <v/>
      </c>
      <c r="H1226" s="7" t="n"/>
      <c r="I1226" s="8">
        <f>IF(H1226&lt;&gt;"",H1226,G1226)</f>
        <v/>
      </c>
    </row>
    <row r="1227">
      <c r="A1227" s="9" t="n"/>
      <c r="B1227" s="9" t="n"/>
      <c r="C1227" s="9" t="n"/>
      <c r="D1227" s="9" t="n"/>
      <c r="E1227" s="9" t="n"/>
      <c r="F1227" s="8">
        <f>IF(A1227="","",IFERROR(INDEX(Testes!$N$2:$N$500,MATCH(A1227,Testes!$A$2:$A$500,0)),""))</f>
        <v/>
      </c>
      <c r="G1227" s="8">
        <f>IF(F1227="ocorrência","VP",IF(F1227="sem ocorrência","FP",""))</f>
        <v/>
      </c>
      <c r="H1227" s="7" t="n"/>
      <c r="I1227" s="8">
        <f>IF(H1227&lt;&gt;"",H1227,G1227)</f>
        <v/>
      </c>
    </row>
    <row r="1228">
      <c r="A1228" s="9" t="n"/>
      <c r="B1228" s="9" t="n"/>
      <c r="C1228" s="9" t="n"/>
      <c r="D1228" s="9" t="n"/>
      <c r="E1228" s="9" t="n"/>
      <c r="F1228" s="8">
        <f>IF(A1228="","",IFERROR(INDEX(Testes!$N$2:$N$500,MATCH(A1228,Testes!$A$2:$A$500,0)),""))</f>
        <v/>
      </c>
      <c r="G1228" s="8">
        <f>IF(F1228="ocorrência","VP",IF(F1228="sem ocorrência","FP",""))</f>
        <v/>
      </c>
      <c r="H1228" s="7" t="n"/>
      <c r="I1228" s="8">
        <f>IF(H1228&lt;&gt;"",H1228,G1228)</f>
        <v/>
      </c>
    </row>
    <row r="1229">
      <c r="A1229" s="9" t="n"/>
      <c r="B1229" s="9" t="n"/>
      <c r="C1229" s="9" t="n"/>
      <c r="D1229" s="9" t="n"/>
      <c r="E1229" s="9" t="n"/>
      <c r="F1229" s="8">
        <f>IF(A1229="","",IFERROR(INDEX(Testes!$N$2:$N$500,MATCH(A1229,Testes!$A$2:$A$500,0)),""))</f>
        <v/>
      </c>
      <c r="G1229" s="8">
        <f>IF(F1229="ocorrência","VP",IF(F1229="sem ocorrência","FP",""))</f>
        <v/>
      </c>
      <c r="H1229" s="7" t="n"/>
      <c r="I1229" s="8">
        <f>IF(H1229&lt;&gt;"",H1229,G1229)</f>
        <v/>
      </c>
    </row>
    <row r="1230">
      <c r="A1230" s="9" t="n"/>
      <c r="B1230" s="9" t="n"/>
      <c r="C1230" s="9" t="n"/>
      <c r="D1230" s="9" t="n"/>
      <c r="E1230" s="9" t="n"/>
      <c r="F1230" s="8">
        <f>IF(A1230="","",IFERROR(INDEX(Testes!$N$2:$N$500,MATCH(A1230,Testes!$A$2:$A$500,0)),""))</f>
        <v/>
      </c>
      <c r="G1230" s="8">
        <f>IF(F1230="ocorrência","VP",IF(F1230="sem ocorrência","FP",""))</f>
        <v/>
      </c>
      <c r="H1230" s="7" t="n"/>
      <c r="I1230" s="8">
        <f>IF(H1230&lt;&gt;"",H1230,G1230)</f>
        <v/>
      </c>
    </row>
    <row r="1231">
      <c r="A1231" s="9" t="n"/>
      <c r="B1231" s="9" t="n"/>
      <c r="C1231" s="9" t="n"/>
      <c r="D1231" s="9" t="n"/>
      <c r="E1231" s="9" t="n"/>
      <c r="F1231" s="8">
        <f>IF(A1231="","",IFERROR(INDEX(Testes!$N$2:$N$500,MATCH(A1231,Testes!$A$2:$A$500,0)),""))</f>
        <v/>
      </c>
      <c r="G1231" s="8">
        <f>IF(F1231="ocorrência","VP",IF(F1231="sem ocorrência","FP",""))</f>
        <v/>
      </c>
      <c r="H1231" s="7" t="n"/>
      <c r="I1231" s="8">
        <f>IF(H1231&lt;&gt;"",H1231,G1231)</f>
        <v/>
      </c>
    </row>
    <row r="1232">
      <c r="A1232" s="9" t="n"/>
      <c r="B1232" s="9" t="n"/>
      <c r="C1232" s="9" t="n"/>
      <c r="D1232" s="9" t="n"/>
      <c r="E1232" s="9" t="n"/>
      <c r="F1232" s="8">
        <f>IF(A1232="","",IFERROR(INDEX(Testes!$N$2:$N$500,MATCH(A1232,Testes!$A$2:$A$500,0)),""))</f>
        <v/>
      </c>
      <c r="G1232" s="8">
        <f>IF(F1232="ocorrência","VP",IF(F1232="sem ocorrência","FP",""))</f>
        <v/>
      </c>
      <c r="H1232" s="7" t="n"/>
      <c r="I1232" s="8">
        <f>IF(H1232&lt;&gt;"",H1232,G1232)</f>
        <v/>
      </c>
    </row>
    <row r="1233">
      <c r="A1233" s="9" t="n"/>
      <c r="B1233" s="9" t="n"/>
      <c r="C1233" s="9" t="n"/>
      <c r="D1233" s="9" t="n"/>
      <c r="E1233" s="9" t="n"/>
      <c r="F1233" s="8">
        <f>IF(A1233="","",IFERROR(INDEX(Testes!$N$2:$N$500,MATCH(A1233,Testes!$A$2:$A$500,0)),""))</f>
        <v/>
      </c>
      <c r="G1233" s="8">
        <f>IF(F1233="ocorrência","VP",IF(F1233="sem ocorrência","FP",""))</f>
        <v/>
      </c>
      <c r="H1233" s="7" t="n"/>
      <c r="I1233" s="8">
        <f>IF(H1233&lt;&gt;"",H1233,G1233)</f>
        <v/>
      </c>
    </row>
    <row r="1234">
      <c r="A1234" s="9" t="n"/>
      <c r="B1234" s="9" t="n"/>
      <c r="C1234" s="9" t="n"/>
      <c r="D1234" s="9" t="n"/>
      <c r="E1234" s="9" t="n"/>
      <c r="F1234" s="8">
        <f>IF(A1234="","",IFERROR(INDEX(Testes!$N$2:$N$500,MATCH(A1234,Testes!$A$2:$A$500,0)),""))</f>
        <v/>
      </c>
      <c r="G1234" s="8">
        <f>IF(F1234="ocorrência","VP",IF(F1234="sem ocorrência","FP",""))</f>
        <v/>
      </c>
      <c r="H1234" s="7" t="n"/>
      <c r="I1234" s="8">
        <f>IF(H1234&lt;&gt;"",H1234,G1234)</f>
        <v/>
      </c>
    </row>
    <row r="1235">
      <c r="A1235" s="9" t="n"/>
      <c r="B1235" s="9" t="n"/>
      <c r="C1235" s="9" t="n"/>
      <c r="D1235" s="9" t="n"/>
      <c r="E1235" s="9" t="n"/>
      <c r="F1235" s="8">
        <f>IF(A1235="","",IFERROR(INDEX(Testes!$N$2:$N$500,MATCH(A1235,Testes!$A$2:$A$500,0)),""))</f>
        <v/>
      </c>
      <c r="G1235" s="8">
        <f>IF(F1235="ocorrência","VP",IF(F1235="sem ocorrência","FP",""))</f>
        <v/>
      </c>
      <c r="H1235" s="7" t="n"/>
      <c r="I1235" s="8">
        <f>IF(H1235&lt;&gt;"",H1235,G1235)</f>
        <v/>
      </c>
    </row>
    <row r="1236">
      <c r="A1236" s="9" t="n"/>
      <c r="B1236" s="9" t="n"/>
      <c r="C1236" s="9" t="n"/>
      <c r="D1236" s="9" t="n"/>
      <c r="E1236" s="9" t="n"/>
      <c r="F1236" s="8">
        <f>IF(A1236="","",IFERROR(INDEX(Testes!$N$2:$N$500,MATCH(A1236,Testes!$A$2:$A$500,0)),""))</f>
        <v/>
      </c>
      <c r="G1236" s="8">
        <f>IF(F1236="ocorrência","VP",IF(F1236="sem ocorrência","FP",""))</f>
        <v/>
      </c>
      <c r="H1236" s="7" t="n"/>
      <c r="I1236" s="8">
        <f>IF(H1236&lt;&gt;"",H1236,G1236)</f>
        <v/>
      </c>
    </row>
    <row r="1237">
      <c r="A1237" s="9" t="n"/>
      <c r="B1237" s="9" t="n"/>
      <c r="C1237" s="9" t="n"/>
      <c r="D1237" s="9" t="n"/>
      <c r="E1237" s="9" t="n"/>
      <c r="F1237" s="8">
        <f>IF(A1237="","",IFERROR(INDEX(Testes!$N$2:$N$500,MATCH(A1237,Testes!$A$2:$A$500,0)),""))</f>
        <v/>
      </c>
      <c r="G1237" s="8">
        <f>IF(F1237="ocorrência","VP",IF(F1237="sem ocorrência","FP",""))</f>
        <v/>
      </c>
      <c r="H1237" s="7" t="n"/>
      <c r="I1237" s="8">
        <f>IF(H1237&lt;&gt;"",H1237,G1237)</f>
        <v/>
      </c>
    </row>
    <row r="1238">
      <c r="A1238" s="9" t="n"/>
      <c r="B1238" s="9" t="n"/>
      <c r="C1238" s="9" t="n"/>
      <c r="D1238" s="9" t="n"/>
      <c r="E1238" s="9" t="n"/>
      <c r="F1238" s="8">
        <f>IF(A1238="","",IFERROR(INDEX(Testes!$N$2:$N$500,MATCH(A1238,Testes!$A$2:$A$500,0)),""))</f>
        <v/>
      </c>
      <c r="G1238" s="8">
        <f>IF(F1238="ocorrência","VP",IF(F1238="sem ocorrência","FP",""))</f>
        <v/>
      </c>
      <c r="H1238" s="7" t="n"/>
      <c r="I1238" s="8">
        <f>IF(H1238&lt;&gt;"",H1238,G1238)</f>
        <v/>
      </c>
    </row>
    <row r="1239">
      <c r="A1239" s="9" t="n"/>
      <c r="B1239" s="9" t="n"/>
      <c r="C1239" s="9" t="n"/>
      <c r="D1239" s="9" t="n"/>
      <c r="E1239" s="9" t="n"/>
      <c r="F1239" s="8">
        <f>IF(A1239="","",IFERROR(INDEX(Testes!$N$2:$N$500,MATCH(A1239,Testes!$A$2:$A$500,0)),""))</f>
        <v/>
      </c>
      <c r="G1239" s="8">
        <f>IF(F1239="ocorrência","VP",IF(F1239="sem ocorrência","FP",""))</f>
        <v/>
      </c>
      <c r="H1239" s="7" t="n"/>
      <c r="I1239" s="8">
        <f>IF(H1239&lt;&gt;"",H1239,G1239)</f>
        <v/>
      </c>
    </row>
    <row r="1240">
      <c r="A1240" s="9" t="n"/>
      <c r="B1240" s="9" t="n"/>
      <c r="C1240" s="9" t="n"/>
      <c r="D1240" s="9" t="n"/>
      <c r="E1240" s="9" t="n"/>
      <c r="F1240" s="8">
        <f>IF(A1240="","",IFERROR(INDEX(Testes!$N$2:$N$500,MATCH(A1240,Testes!$A$2:$A$500,0)),""))</f>
        <v/>
      </c>
      <c r="G1240" s="8">
        <f>IF(F1240="ocorrência","VP",IF(F1240="sem ocorrência","FP",""))</f>
        <v/>
      </c>
      <c r="H1240" s="7" t="n"/>
      <c r="I1240" s="8">
        <f>IF(H1240&lt;&gt;"",H1240,G1240)</f>
        <v/>
      </c>
    </row>
    <row r="1241">
      <c r="A1241" s="9" t="n"/>
      <c r="B1241" s="9" t="n"/>
      <c r="C1241" s="9" t="n"/>
      <c r="D1241" s="9" t="n"/>
      <c r="E1241" s="9" t="n"/>
      <c r="F1241" s="8">
        <f>IF(A1241="","",IFERROR(INDEX(Testes!$N$2:$N$500,MATCH(A1241,Testes!$A$2:$A$500,0)),""))</f>
        <v/>
      </c>
      <c r="G1241" s="8">
        <f>IF(F1241="ocorrência","VP",IF(F1241="sem ocorrência","FP",""))</f>
        <v/>
      </c>
      <c r="H1241" s="7" t="n"/>
      <c r="I1241" s="8">
        <f>IF(H1241&lt;&gt;"",H1241,G1241)</f>
        <v/>
      </c>
    </row>
    <row r="1242">
      <c r="A1242" s="9" t="n"/>
      <c r="B1242" s="9" t="n"/>
      <c r="C1242" s="9" t="n"/>
      <c r="D1242" s="9" t="n"/>
      <c r="E1242" s="9" t="n"/>
      <c r="F1242" s="8">
        <f>IF(A1242="","",IFERROR(INDEX(Testes!$N$2:$N$500,MATCH(A1242,Testes!$A$2:$A$500,0)),""))</f>
        <v/>
      </c>
      <c r="G1242" s="8">
        <f>IF(F1242="ocorrência","VP",IF(F1242="sem ocorrência","FP",""))</f>
        <v/>
      </c>
      <c r="H1242" s="7" t="n"/>
      <c r="I1242" s="8">
        <f>IF(H1242&lt;&gt;"",H1242,G1242)</f>
        <v/>
      </c>
    </row>
    <row r="1243">
      <c r="A1243" s="9" t="n"/>
      <c r="B1243" s="9" t="n"/>
      <c r="C1243" s="9" t="n"/>
      <c r="D1243" s="9" t="n"/>
      <c r="E1243" s="9" t="n"/>
      <c r="F1243" s="8">
        <f>IF(A1243="","",IFERROR(INDEX(Testes!$N$2:$N$500,MATCH(A1243,Testes!$A$2:$A$500,0)),""))</f>
        <v/>
      </c>
      <c r="G1243" s="8">
        <f>IF(F1243="ocorrência","VP",IF(F1243="sem ocorrência","FP",""))</f>
        <v/>
      </c>
      <c r="H1243" s="7" t="n"/>
      <c r="I1243" s="8">
        <f>IF(H1243&lt;&gt;"",H1243,G1243)</f>
        <v/>
      </c>
    </row>
    <row r="1244">
      <c r="A1244" s="9" t="n"/>
      <c r="B1244" s="9" t="n"/>
      <c r="C1244" s="9" t="n"/>
      <c r="D1244" s="9" t="n"/>
      <c r="E1244" s="9" t="n"/>
      <c r="F1244" s="8">
        <f>IF(A1244="","",IFERROR(INDEX(Testes!$N$2:$N$500,MATCH(A1244,Testes!$A$2:$A$500,0)),""))</f>
        <v/>
      </c>
      <c r="G1244" s="8">
        <f>IF(F1244="ocorrência","VP",IF(F1244="sem ocorrência","FP",""))</f>
        <v/>
      </c>
      <c r="H1244" s="7" t="n"/>
      <c r="I1244" s="8">
        <f>IF(H1244&lt;&gt;"",H1244,G1244)</f>
        <v/>
      </c>
    </row>
    <row r="1245">
      <c r="A1245" s="9" t="n"/>
      <c r="B1245" s="9" t="n"/>
      <c r="C1245" s="9" t="n"/>
      <c r="D1245" s="9" t="n"/>
      <c r="E1245" s="9" t="n"/>
      <c r="F1245" s="8">
        <f>IF(A1245="","",IFERROR(INDEX(Testes!$N$2:$N$500,MATCH(A1245,Testes!$A$2:$A$500,0)),""))</f>
        <v/>
      </c>
      <c r="G1245" s="8">
        <f>IF(F1245="ocorrência","VP",IF(F1245="sem ocorrência","FP",""))</f>
        <v/>
      </c>
      <c r="H1245" s="7" t="n"/>
      <c r="I1245" s="8">
        <f>IF(H1245&lt;&gt;"",H1245,G1245)</f>
        <v/>
      </c>
    </row>
    <row r="1246">
      <c r="A1246" s="9" t="n"/>
      <c r="B1246" s="9" t="n"/>
      <c r="C1246" s="9" t="n"/>
      <c r="D1246" s="9" t="n"/>
      <c r="E1246" s="9" t="n"/>
      <c r="F1246" s="8">
        <f>IF(A1246="","",IFERROR(INDEX(Testes!$N$2:$N$500,MATCH(A1246,Testes!$A$2:$A$500,0)),""))</f>
        <v/>
      </c>
      <c r="G1246" s="8">
        <f>IF(F1246="ocorrência","VP",IF(F1246="sem ocorrência","FP",""))</f>
        <v/>
      </c>
      <c r="H1246" s="7" t="n"/>
      <c r="I1246" s="8">
        <f>IF(H1246&lt;&gt;"",H1246,G1246)</f>
        <v/>
      </c>
    </row>
    <row r="1247">
      <c r="A1247" s="9" t="n"/>
      <c r="B1247" s="9" t="n"/>
      <c r="C1247" s="9" t="n"/>
      <c r="D1247" s="9" t="n"/>
      <c r="E1247" s="9" t="n"/>
      <c r="F1247" s="8">
        <f>IF(A1247="","",IFERROR(INDEX(Testes!$N$2:$N$500,MATCH(A1247,Testes!$A$2:$A$500,0)),""))</f>
        <v/>
      </c>
      <c r="G1247" s="8">
        <f>IF(F1247="ocorrência","VP",IF(F1247="sem ocorrência","FP",""))</f>
        <v/>
      </c>
      <c r="H1247" s="7" t="n"/>
      <c r="I1247" s="8">
        <f>IF(H1247&lt;&gt;"",H1247,G1247)</f>
        <v/>
      </c>
    </row>
    <row r="1248">
      <c r="A1248" s="9" t="n"/>
      <c r="B1248" s="9" t="n"/>
      <c r="C1248" s="9" t="n"/>
      <c r="D1248" s="9" t="n"/>
      <c r="E1248" s="9" t="n"/>
      <c r="F1248" s="8">
        <f>IF(A1248="","",IFERROR(INDEX(Testes!$N$2:$N$500,MATCH(A1248,Testes!$A$2:$A$500,0)),""))</f>
        <v/>
      </c>
      <c r="G1248" s="8">
        <f>IF(F1248="ocorrência","VP",IF(F1248="sem ocorrência","FP",""))</f>
        <v/>
      </c>
      <c r="H1248" s="7" t="n"/>
      <c r="I1248" s="8">
        <f>IF(H1248&lt;&gt;"",H1248,G1248)</f>
        <v/>
      </c>
    </row>
    <row r="1249">
      <c r="A1249" s="9" t="n"/>
      <c r="B1249" s="9" t="n"/>
      <c r="C1249" s="9" t="n"/>
      <c r="D1249" s="9" t="n"/>
      <c r="E1249" s="9" t="n"/>
      <c r="F1249" s="8">
        <f>IF(A1249="","",IFERROR(INDEX(Testes!$N$2:$N$500,MATCH(A1249,Testes!$A$2:$A$500,0)),""))</f>
        <v/>
      </c>
      <c r="G1249" s="8">
        <f>IF(F1249="ocorrência","VP",IF(F1249="sem ocorrência","FP",""))</f>
        <v/>
      </c>
      <c r="H1249" s="7" t="n"/>
      <c r="I1249" s="8">
        <f>IF(H1249&lt;&gt;"",H1249,G1249)</f>
        <v/>
      </c>
    </row>
    <row r="1250">
      <c r="A1250" s="9" t="n"/>
      <c r="B1250" s="9" t="n"/>
      <c r="C1250" s="9" t="n"/>
      <c r="D1250" s="9" t="n"/>
      <c r="E1250" s="9" t="n"/>
      <c r="F1250" s="8">
        <f>IF(A1250="","",IFERROR(INDEX(Testes!$N$2:$N$500,MATCH(A1250,Testes!$A$2:$A$500,0)),""))</f>
        <v/>
      </c>
      <c r="G1250" s="8">
        <f>IF(F1250="ocorrência","VP",IF(F1250="sem ocorrência","FP",""))</f>
        <v/>
      </c>
      <c r="H1250" s="7" t="n"/>
      <c r="I1250" s="8">
        <f>IF(H1250&lt;&gt;"",H1250,G1250)</f>
        <v/>
      </c>
    </row>
    <row r="1251">
      <c r="A1251" s="9" t="n"/>
      <c r="B1251" s="9" t="n"/>
      <c r="C1251" s="9" t="n"/>
      <c r="D1251" s="9" t="n"/>
      <c r="E1251" s="9" t="n"/>
      <c r="F1251" s="8">
        <f>IF(A1251="","",IFERROR(INDEX(Testes!$N$2:$N$500,MATCH(A1251,Testes!$A$2:$A$500,0)),""))</f>
        <v/>
      </c>
      <c r="G1251" s="8">
        <f>IF(F1251="ocorrência","VP",IF(F1251="sem ocorrência","FP",""))</f>
        <v/>
      </c>
      <c r="H1251" s="7" t="n"/>
      <c r="I1251" s="8">
        <f>IF(H1251&lt;&gt;"",H1251,G1251)</f>
        <v/>
      </c>
    </row>
    <row r="1252">
      <c r="A1252" s="9" t="n"/>
      <c r="B1252" s="9" t="n"/>
      <c r="C1252" s="9" t="n"/>
      <c r="D1252" s="9" t="n"/>
      <c r="E1252" s="9" t="n"/>
      <c r="F1252" s="8">
        <f>IF(A1252="","",IFERROR(INDEX(Testes!$N$2:$N$500,MATCH(A1252,Testes!$A$2:$A$500,0)),""))</f>
        <v/>
      </c>
      <c r="G1252" s="8">
        <f>IF(F1252="ocorrência","VP",IF(F1252="sem ocorrência","FP",""))</f>
        <v/>
      </c>
      <c r="H1252" s="7" t="n"/>
      <c r="I1252" s="8">
        <f>IF(H1252&lt;&gt;"",H1252,G1252)</f>
        <v/>
      </c>
    </row>
    <row r="1253">
      <c r="A1253" s="9" t="n"/>
      <c r="B1253" s="9" t="n"/>
      <c r="C1253" s="9" t="n"/>
      <c r="D1253" s="9" t="n"/>
      <c r="E1253" s="9" t="n"/>
      <c r="F1253" s="8">
        <f>IF(A1253="","",IFERROR(INDEX(Testes!$N$2:$N$500,MATCH(A1253,Testes!$A$2:$A$500,0)),""))</f>
        <v/>
      </c>
      <c r="G1253" s="8">
        <f>IF(F1253="ocorrência","VP",IF(F1253="sem ocorrência","FP",""))</f>
        <v/>
      </c>
      <c r="H1253" s="7" t="n"/>
      <c r="I1253" s="8">
        <f>IF(H1253&lt;&gt;"",H1253,G1253)</f>
        <v/>
      </c>
    </row>
    <row r="1254">
      <c r="A1254" s="9" t="n"/>
      <c r="B1254" s="9" t="n"/>
      <c r="C1254" s="9" t="n"/>
      <c r="D1254" s="9" t="n"/>
      <c r="E1254" s="9" t="n"/>
      <c r="F1254" s="8">
        <f>IF(A1254="","",IFERROR(INDEX(Testes!$N$2:$N$500,MATCH(A1254,Testes!$A$2:$A$500,0)),""))</f>
        <v/>
      </c>
      <c r="G1254" s="8">
        <f>IF(F1254="ocorrência","VP",IF(F1254="sem ocorrência","FP",""))</f>
        <v/>
      </c>
      <c r="H1254" s="7" t="n"/>
      <c r="I1254" s="8">
        <f>IF(H1254&lt;&gt;"",H1254,G1254)</f>
        <v/>
      </c>
    </row>
    <row r="1255">
      <c r="A1255" s="9" t="n"/>
      <c r="B1255" s="9" t="n"/>
      <c r="C1255" s="9" t="n"/>
      <c r="D1255" s="9" t="n"/>
      <c r="E1255" s="9" t="n"/>
      <c r="F1255" s="8">
        <f>IF(A1255="","",IFERROR(INDEX(Testes!$N$2:$N$500,MATCH(A1255,Testes!$A$2:$A$500,0)),""))</f>
        <v/>
      </c>
      <c r="G1255" s="8">
        <f>IF(F1255="ocorrência","VP",IF(F1255="sem ocorrência","FP",""))</f>
        <v/>
      </c>
      <c r="H1255" s="7" t="n"/>
      <c r="I1255" s="8">
        <f>IF(H1255&lt;&gt;"",H1255,G1255)</f>
        <v/>
      </c>
    </row>
    <row r="1256">
      <c r="A1256" s="9" t="n"/>
      <c r="B1256" s="9" t="n"/>
      <c r="C1256" s="9" t="n"/>
      <c r="D1256" s="9" t="n"/>
      <c r="E1256" s="9" t="n"/>
      <c r="F1256" s="8">
        <f>IF(A1256="","",IFERROR(INDEX(Testes!$N$2:$N$500,MATCH(A1256,Testes!$A$2:$A$500,0)),""))</f>
        <v/>
      </c>
      <c r="G1256" s="8">
        <f>IF(F1256="ocorrência","VP",IF(F1256="sem ocorrência","FP",""))</f>
        <v/>
      </c>
      <c r="H1256" s="7" t="n"/>
      <c r="I1256" s="8">
        <f>IF(H1256&lt;&gt;"",H1256,G1256)</f>
        <v/>
      </c>
    </row>
    <row r="1257">
      <c r="A1257" s="9" t="n"/>
      <c r="B1257" s="9" t="n"/>
      <c r="C1257" s="9" t="n"/>
      <c r="D1257" s="9" t="n"/>
      <c r="E1257" s="9" t="n"/>
      <c r="F1257" s="8">
        <f>IF(A1257="","",IFERROR(INDEX(Testes!$N$2:$N$500,MATCH(A1257,Testes!$A$2:$A$500,0)),""))</f>
        <v/>
      </c>
      <c r="G1257" s="8">
        <f>IF(F1257="ocorrência","VP",IF(F1257="sem ocorrência","FP",""))</f>
        <v/>
      </c>
      <c r="H1257" s="7" t="n"/>
      <c r="I1257" s="8">
        <f>IF(H1257&lt;&gt;"",H1257,G1257)</f>
        <v/>
      </c>
    </row>
    <row r="1258">
      <c r="A1258" s="9" t="n"/>
      <c r="B1258" s="9" t="n"/>
      <c r="C1258" s="9" t="n"/>
      <c r="D1258" s="9" t="n"/>
      <c r="E1258" s="9" t="n"/>
      <c r="F1258" s="8">
        <f>IF(A1258="","",IFERROR(INDEX(Testes!$N$2:$N$500,MATCH(A1258,Testes!$A$2:$A$500,0)),""))</f>
        <v/>
      </c>
      <c r="G1258" s="8">
        <f>IF(F1258="ocorrência","VP",IF(F1258="sem ocorrência","FP",""))</f>
        <v/>
      </c>
      <c r="H1258" s="7" t="n"/>
      <c r="I1258" s="8">
        <f>IF(H1258&lt;&gt;"",H1258,G1258)</f>
        <v/>
      </c>
    </row>
    <row r="1259">
      <c r="A1259" s="9" t="n"/>
      <c r="B1259" s="9" t="n"/>
      <c r="C1259" s="9" t="n"/>
      <c r="D1259" s="9" t="n"/>
      <c r="E1259" s="9" t="n"/>
      <c r="F1259" s="8">
        <f>IF(A1259="","",IFERROR(INDEX(Testes!$N$2:$N$500,MATCH(A1259,Testes!$A$2:$A$500,0)),""))</f>
        <v/>
      </c>
      <c r="G1259" s="8">
        <f>IF(F1259="ocorrência","VP",IF(F1259="sem ocorrência","FP",""))</f>
        <v/>
      </c>
      <c r="H1259" s="7" t="n"/>
      <c r="I1259" s="8">
        <f>IF(H1259&lt;&gt;"",H1259,G1259)</f>
        <v/>
      </c>
    </row>
    <row r="1260">
      <c r="A1260" s="9" t="n"/>
      <c r="B1260" s="9" t="n"/>
      <c r="C1260" s="9" t="n"/>
      <c r="D1260" s="9" t="n"/>
      <c r="E1260" s="9" t="n"/>
      <c r="F1260" s="8">
        <f>IF(A1260="","",IFERROR(INDEX(Testes!$N$2:$N$500,MATCH(A1260,Testes!$A$2:$A$500,0)),""))</f>
        <v/>
      </c>
      <c r="G1260" s="8">
        <f>IF(F1260="ocorrência","VP",IF(F1260="sem ocorrência","FP",""))</f>
        <v/>
      </c>
      <c r="H1260" s="7" t="n"/>
      <c r="I1260" s="8">
        <f>IF(H1260&lt;&gt;"",H1260,G1260)</f>
        <v/>
      </c>
    </row>
    <row r="1261">
      <c r="A1261" s="9" t="n"/>
      <c r="B1261" s="9" t="n"/>
      <c r="C1261" s="9" t="n"/>
      <c r="D1261" s="9" t="n"/>
      <c r="E1261" s="9" t="n"/>
      <c r="F1261" s="8">
        <f>IF(A1261="","",IFERROR(INDEX(Testes!$N$2:$N$500,MATCH(A1261,Testes!$A$2:$A$500,0)),""))</f>
        <v/>
      </c>
      <c r="G1261" s="8">
        <f>IF(F1261="ocorrência","VP",IF(F1261="sem ocorrência","FP",""))</f>
        <v/>
      </c>
      <c r="H1261" s="7" t="n"/>
      <c r="I1261" s="8">
        <f>IF(H1261&lt;&gt;"",H1261,G1261)</f>
        <v/>
      </c>
    </row>
    <row r="1262">
      <c r="A1262" s="9" t="n"/>
      <c r="B1262" s="9" t="n"/>
      <c r="C1262" s="9" t="n"/>
      <c r="D1262" s="9" t="n"/>
      <c r="E1262" s="9" t="n"/>
      <c r="F1262" s="8">
        <f>IF(A1262="","",IFERROR(INDEX(Testes!$N$2:$N$500,MATCH(A1262,Testes!$A$2:$A$500,0)),""))</f>
        <v/>
      </c>
      <c r="G1262" s="8">
        <f>IF(F1262="ocorrência","VP",IF(F1262="sem ocorrência","FP",""))</f>
        <v/>
      </c>
      <c r="H1262" s="7" t="n"/>
      <c r="I1262" s="8">
        <f>IF(H1262&lt;&gt;"",H1262,G1262)</f>
        <v/>
      </c>
    </row>
    <row r="1263">
      <c r="A1263" s="9" t="n"/>
      <c r="B1263" s="9" t="n"/>
      <c r="C1263" s="9" t="n"/>
      <c r="D1263" s="9" t="n"/>
      <c r="E1263" s="9" t="n"/>
      <c r="F1263" s="8">
        <f>IF(A1263="","",IFERROR(INDEX(Testes!$N$2:$N$500,MATCH(A1263,Testes!$A$2:$A$500,0)),""))</f>
        <v/>
      </c>
      <c r="G1263" s="8">
        <f>IF(F1263="ocorrência","VP",IF(F1263="sem ocorrência","FP",""))</f>
        <v/>
      </c>
      <c r="H1263" s="7" t="n"/>
      <c r="I1263" s="8">
        <f>IF(H1263&lt;&gt;"",H1263,G1263)</f>
        <v/>
      </c>
    </row>
    <row r="1264">
      <c r="A1264" s="9" t="n"/>
      <c r="B1264" s="9" t="n"/>
      <c r="C1264" s="9" t="n"/>
      <c r="D1264" s="9" t="n"/>
      <c r="E1264" s="9" t="n"/>
      <c r="F1264" s="8">
        <f>IF(A1264="","",IFERROR(INDEX(Testes!$N$2:$N$500,MATCH(A1264,Testes!$A$2:$A$500,0)),""))</f>
        <v/>
      </c>
      <c r="G1264" s="8">
        <f>IF(F1264="ocorrência","VP",IF(F1264="sem ocorrência","FP",""))</f>
        <v/>
      </c>
      <c r="H1264" s="7" t="n"/>
      <c r="I1264" s="8">
        <f>IF(H1264&lt;&gt;"",H1264,G1264)</f>
        <v/>
      </c>
    </row>
    <row r="1265">
      <c r="A1265" s="9" t="n"/>
      <c r="B1265" s="9" t="n"/>
      <c r="C1265" s="9" t="n"/>
      <c r="D1265" s="9" t="n"/>
      <c r="E1265" s="9" t="n"/>
      <c r="F1265" s="8">
        <f>IF(A1265="","",IFERROR(INDEX(Testes!$N$2:$N$500,MATCH(A1265,Testes!$A$2:$A$500,0)),""))</f>
        <v/>
      </c>
      <c r="G1265" s="8">
        <f>IF(F1265="ocorrência","VP",IF(F1265="sem ocorrência","FP",""))</f>
        <v/>
      </c>
      <c r="H1265" s="7" t="n"/>
      <c r="I1265" s="8">
        <f>IF(H1265&lt;&gt;"",H1265,G1265)</f>
        <v/>
      </c>
    </row>
    <row r="1266">
      <c r="A1266" s="9" t="n"/>
      <c r="B1266" s="9" t="n"/>
      <c r="C1266" s="9" t="n"/>
      <c r="D1266" s="9" t="n"/>
      <c r="E1266" s="9" t="n"/>
      <c r="F1266" s="8">
        <f>IF(A1266="","",IFERROR(INDEX(Testes!$N$2:$N$500,MATCH(A1266,Testes!$A$2:$A$500,0)),""))</f>
        <v/>
      </c>
      <c r="G1266" s="8">
        <f>IF(F1266="ocorrência","VP",IF(F1266="sem ocorrência","FP",""))</f>
        <v/>
      </c>
      <c r="H1266" s="7" t="n"/>
      <c r="I1266" s="8">
        <f>IF(H1266&lt;&gt;"",H1266,G1266)</f>
        <v/>
      </c>
    </row>
    <row r="1267">
      <c r="A1267" s="9" t="n"/>
      <c r="B1267" s="9" t="n"/>
      <c r="C1267" s="9" t="n"/>
      <c r="D1267" s="9" t="n"/>
      <c r="E1267" s="9" t="n"/>
      <c r="F1267" s="8">
        <f>IF(A1267="","",IFERROR(INDEX(Testes!$N$2:$N$500,MATCH(A1267,Testes!$A$2:$A$500,0)),""))</f>
        <v/>
      </c>
      <c r="G1267" s="8">
        <f>IF(F1267="ocorrência","VP",IF(F1267="sem ocorrência","FP",""))</f>
        <v/>
      </c>
      <c r="H1267" s="7" t="n"/>
      <c r="I1267" s="8">
        <f>IF(H1267&lt;&gt;"",H1267,G1267)</f>
        <v/>
      </c>
    </row>
    <row r="1268">
      <c r="A1268" s="9" t="n"/>
      <c r="B1268" s="9" t="n"/>
      <c r="C1268" s="9" t="n"/>
      <c r="D1268" s="9" t="n"/>
      <c r="E1268" s="9" t="n"/>
      <c r="F1268" s="8">
        <f>IF(A1268="","",IFERROR(INDEX(Testes!$N$2:$N$500,MATCH(A1268,Testes!$A$2:$A$500,0)),""))</f>
        <v/>
      </c>
      <c r="G1268" s="8">
        <f>IF(F1268="ocorrência","VP",IF(F1268="sem ocorrência","FP",""))</f>
        <v/>
      </c>
      <c r="H1268" s="7" t="n"/>
      <c r="I1268" s="8">
        <f>IF(H1268&lt;&gt;"",H1268,G1268)</f>
        <v/>
      </c>
    </row>
    <row r="1269">
      <c r="A1269" s="9" t="n"/>
      <c r="B1269" s="9" t="n"/>
      <c r="C1269" s="9" t="n"/>
      <c r="D1269" s="9" t="n"/>
      <c r="E1269" s="9" t="n"/>
      <c r="F1269" s="8">
        <f>IF(A1269="","",IFERROR(INDEX(Testes!$N$2:$N$500,MATCH(A1269,Testes!$A$2:$A$500,0)),""))</f>
        <v/>
      </c>
      <c r="G1269" s="8">
        <f>IF(F1269="ocorrência","VP",IF(F1269="sem ocorrência","FP",""))</f>
        <v/>
      </c>
      <c r="H1269" s="7" t="n"/>
      <c r="I1269" s="8">
        <f>IF(H1269&lt;&gt;"",H1269,G1269)</f>
        <v/>
      </c>
    </row>
    <row r="1270">
      <c r="A1270" s="9" t="n"/>
      <c r="B1270" s="9" t="n"/>
      <c r="C1270" s="9" t="n"/>
      <c r="D1270" s="9" t="n"/>
      <c r="E1270" s="9" t="n"/>
      <c r="F1270" s="8">
        <f>IF(A1270="","",IFERROR(INDEX(Testes!$N$2:$N$500,MATCH(A1270,Testes!$A$2:$A$500,0)),""))</f>
        <v/>
      </c>
      <c r="G1270" s="8">
        <f>IF(F1270="ocorrência","VP",IF(F1270="sem ocorrência","FP",""))</f>
        <v/>
      </c>
      <c r="H1270" s="7" t="n"/>
      <c r="I1270" s="8">
        <f>IF(H1270&lt;&gt;"",H1270,G1270)</f>
        <v/>
      </c>
    </row>
    <row r="1271">
      <c r="A1271" s="9" t="n"/>
      <c r="B1271" s="9" t="n"/>
      <c r="C1271" s="9" t="n"/>
      <c r="D1271" s="9" t="n"/>
      <c r="E1271" s="9" t="n"/>
      <c r="F1271" s="8">
        <f>IF(A1271="","",IFERROR(INDEX(Testes!$N$2:$N$500,MATCH(A1271,Testes!$A$2:$A$500,0)),""))</f>
        <v/>
      </c>
      <c r="G1271" s="8">
        <f>IF(F1271="ocorrência","VP",IF(F1271="sem ocorrência","FP",""))</f>
        <v/>
      </c>
      <c r="H1271" s="7" t="n"/>
      <c r="I1271" s="8">
        <f>IF(H1271&lt;&gt;"",H1271,G1271)</f>
        <v/>
      </c>
    </row>
    <row r="1272">
      <c r="A1272" s="9" t="n"/>
      <c r="B1272" s="9" t="n"/>
      <c r="C1272" s="9" t="n"/>
      <c r="D1272" s="9" t="n"/>
      <c r="E1272" s="9" t="n"/>
      <c r="F1272" s="8">
        <f>IF(A1272="","",IFERROR(INDEX(Testes!$N$2:$N$500,MATCH(A1272,Testes!$A$2:$A$500,0)),""))</f>
        <v/>
      </c>
      <c r="G1272" s="8">
        <f>IF(F1272="ocorrência","VP",IF(F1272="sem ocorrência","FP",""))</f>
        <v/>
      </c>
      <c r="H1272" s="7" t="n"/>
      <c r="I1272" s="8">
        <f>IF(H1272&lt;&gt;"",H1272,G1272)</f>
        <v/>
      </c>
    </row>
    <row r="1273">
      <c r="A1273" s="9" t="n"/>
      <c r="B1273" s="9" t="n"/>
      <c r="C1273" s="9" t="n"/>
      <c r="D1273" s="9" t="n"/>
      <c r="E1273" s="9" t="n"/>
      <c r="F1273" s="8">
        <f>IF(A1273="","",IFERROR(INDEX(Testes!$N$2:$N$500,MATCH(A1273,Testes!$A$2:$A$500,0)),""))</f>
        <v/>
      </c>
      <c r="G1273" s="8">
        <f>IF(F1273="ocorrência","VP",IF(F1273="sem ocorrência","FP",""))</f>
        <v/>
      </c>
      <c r="H1273" s="7" t="n"/>
      <c r="I1273" s="8">
        <f>IF(H1273&lt;&gt;"",H1273,G1273)</f>
        <v/>
      </c>
    </row>
    <row r="1274">
      <c r="A1274" s="9" t="n"/>
      <c r="B1274" s="9" t="n"/>
      <c r="C1274" s="9" t="n"/>
      <c r="D1274" s="9" t="n"/>
      <c r="E1274" s="9" t="n"/>
      <c r="F1274" s="8">
        <f>IF(A1274="","",IFERROR(INDEX(Testes!$N$2:$N$500,MATCH(A1274,Testes!$A$2:$A$500,0)),""))</f>
        <v/>
      </c>
      <c r="G1274" s="8">
        <f>IF(F1274="ocorrência","VP",IF(F1274="sem ocorrência","FP",""))</f>
        <v/>
      </c>
      <c r="H1274" s="7" t="n"/>
      <c r="I1274" s="8">
        <f>IF(H1274&lt;&gt;"",H1274,G1274)</f>
        <v/>
      </c>
    </row>
    <row r="1275">
      <c r="A1275" s="9" t="n"/>
      <c r="B1275" s="9" t="n"/>
      <c r="C1275" s="9" t="n"/>
      <c r="D1275" s="9" t="n"/>
      <c r="E1275" s="9" t="n"/>
      <c r="F1275" s="8">
        <f>IF(A1275="","",IFERROR(INDEX(Testes!$N$2:$N$500,MATCH(A1275,Testes!$A$2:$A$500,0)),""))</f>
        <v/>
      </c>
      <c r="G1275" s="8">
        <f>IF(F1275="ocorrência","VP",IF(F1275="sem ocorrência","FP",""))</f>
        <v/>
      </c>
      <c r="H1275" s="7" t="n"/>
      <c r="I1275" s="8">
        <f>IF(H1275&lt;&gt;"",H1275,G1275)</f>
        <v/>
      </c>
    </row>
    <row r="1276">
      <c r="A1276" s="9" t="n"/>
      <c r="B1276" s="9" t="n"/>
      <c r="C1276" s="9" t="n"/>
      <c r="D1276" s="9" t="n"/>
      <c r="E1276" s="9" t="n"/>
      <c r="F1276" s="8">
        <f>IF(A1276="","",IFERROR(INDEX(Testes!$N$2:$N$500,MATCH(A1276,Testes!$A$2:$A$500,0)),""))</f>
        <v/>
      </c>
      <c r="G1276" s="8">
        <f>IF(F1276="ocorrência","VP",IF(F1276="sem ocorrência","FP",""))</f>
        <v/>
      </c>
      <c r="H1276" s="7" t="n"/>
      <c r="I1276" s="8">
        <f>IF(H1276&lt;&gt;"",H1276,G1276)</f>
        <v/>
      </c>
    </row>
    <row r="1277">
      <c r="A1277" s="9" t="n"/>
      <c r="B1277" s="9" t="n"/>
      <c r="C1277" s="9" t="n"/>
      <c r="D1277" s="9" t="n"/>
      <c r="E1277" s="9" t="n"/>
      <c r="F1277" s="8">
        <f>IF(A1277="","",IFERROR(INDEX(Testes!$N$2:$N$500,MATCH(A1277,Testes!$A$2:$A$500,0)),""))</f>
        <v/>
      </c>
      <c r="G1277" s="8">
        <f>IF(F1277="ocorrência","VP",IF(F1277="sem ocorrência","FP",""))</f>
        <v/>
      </c>
      <c r="H1277" s="7" t="n"/>
      <c r="I1277" s="8">
        <f>IF(H1277&lt;&gt;"",H1277,G1277)</f>
        <v/>
      </c>
    </row>
    <row r="1278">
      <c r="A1278" s="9" t="n"/>
      <c r="B1278" s="9" t="n"/>
      <c r="C1278" s="9" t="n"/>
      <c r="D1278" s="9" t="n"/>
      <c r="E1278" s="9" t="n"/>
      <c r="F1278" s="8">
        <f>IF(A1278="","",IFERROR(INDEX(Testes!$N$2:$N$500,MATCH(A1278,Testes!$A$2:$A$500,0)),""))</f>
        <v/>
      </c>
      <c r="G1278" s="8">
        <f>IF(F1278="ocorrência","VP",IF(F1278="sem ocorrência","FP",""))</f>
        <v/>
      </c>
      <c r="H1278" s="7" t="n"/>
      <c r="I1278" s="8">
        <f>IF(H1278&lt;&gt;"",H1278,G1278)</f>
        <v/>
      </c>
    </row>
    <row r="1279">
      <c r="A1279" s="9" t="n"/>
      <c r="B1279" s="9" t="n"/>
      <c r="C1279" s="9" t="n"/>
      <c r="D1279" s="9" t="n"/>
      <c r="E1279" s="9" t="n"/>
      <c r="F1279" s="8">
        <f>IF(A1279="","",IFERROR(INDEX(Testes!$N$2:$N$500,MATCH(A1279,Testes!$A$2:$A$500,0)),""))</f>
        <v/>
      </c>
      <c r="G1279" s="8">
        <f>IF(F1279="ocorrência","VP",IF(F1279="sem ocorrência","FP",""))</f>
        <v/>
      </c>
      <c r="H1279" s="7" t="n"/>
      <c r="I1279" s="8">
        <f>IF(H1279&lt;&gt;"",H1279,G1279)</f>
        <v/>
      </c>
    </row>
    <row r="1280">
      <c r="A1280" s="9" t="n"/>
      <c r="B1280" s="9" t="n"/>
      <c r="C1280" s="9" t="n"/>
      <c r="D1280" s="9" t="n"/>
      <c r="E1280" s="9" t="n"/>
      <c r="F1280" s="8">
        <f>IF(A1280="","",IFERROR(INDEX(Testes!$N$2:$N$500,MATCH(A1280,Testes!$A$2:$A$500,0)),""))</f>
        <v/>
      </c>
      <c r="G1280" s="8">
        <f>IF(F1280="ocorrência","VP",IF(F1280="sem ocorrência","FP",""))</f>
        <v/>
      </c>
      <c r="H1280" s="7" t="n"/>
      <c r="I1280" s="8">
        <f>IF(H1280&lt;&gt;"",H1280,G1280)</f>
        <v/>
      </c>
    </row>
    <row r="1281">
      <c r="A1281" s="9" t="n"/>
      <c r="B1281" s="9" t="n"/>
      <c r="C1281" s="9" t="n"/>
      <c r="D1281" s="9" t="n"/>
      <c r="E1281" s="9" t="n"/>
      <c r="F1281" s="8">
        <f>IF(A1281="","",IFERROR(INDEX(Testes!$N$2:$N$500,MATCH(A1281,Testes!$A$2:$A$500,0)),""))</f>
        <v/>
      </c>
      <c r="G1281" s="8">
        <f>IF(F1281="ocorrência","VP",IF(F1281="sem ocorrência","FP",""))</f>
        <v/>
      </c>
      <c r="H1281" s="7" t="n"/>
      <c r="I1281" s="8">
        <f>IF(H1281&lt;&gt;"",H1281,G1281)</f>
        <v/>
      </c>
    </row>
    <row r="1282">
      <c r="A1282" s="9" t="n"/>
      <c r="B1282" s="9" t="n"/>
      <c r="C1282" s="9" t="n"/>
      <c r="D1282" s="9" t="n"/>
      <c r="E1282" s="9" t="n"/>
      <c r="F1282" s="8">
        <f>IF(A1282="","",IFERROR(INDEX(Testes!$N$2:$N$500,MATCH(A1282,Testes!$A$2:$A$500,0)),""))</f>
        <v/>
      </c>
      <c r="G1282" s="8">
        <f>IF(F1282="ocorrência","VP",IF(F1282="sem ocorrência","FP",""))</f>
        <v/>
      </c>
      <c r="H1282" s="7" t="n"/>
      <c r="I1282" s="8">
        <f>IF(H1282&lt;&gt;"",H1282,G1282)</f>
        <v/>
      </c>
    </row>
    <row r="1283">
      <c r="A1283" s="9" t="n"/>
      <c r="B1283" s="9" t="n"/>
      <c r="C1283" s="9" t="n"/>
      <c r="D1283" s="9" t="n"/>
      <c r="E1283" s="9" t="n"/>
      <c r="F1283" s="8">
        <f>IF(A1283="","",IFERROR(INDEX(Testes!$N$2:$N$500,MATCH(A1283,Testes!$A$2:$A$500,0)),""))</f>
        <v/>
      </c>
      <c r="G1283" s="8">
        <f>IF(F1283="ocorrência","VP",IF(F1283="sem ocorrência","FP",""))</f>
        <v/>
      </c>
      <c r="H1283" s="7" t="n"/>
      <c r="I1283" s="8">
        <f>IF(H1283&lt;&gt;"",H1283,G1283)</f>
        <v/>
      </c>
    </row>
    <row r="1284">
      <c r="A1284" s="9" t="n"/>
      <c r="B1284" s="9" t="n"/>
      <c r="C1284" s="9" t="n"/>
      <c r="D1284" s="9" t="n"/>
      <c r="E1284" s="9" t="n"/>
      <c r="F1284" s="8">
        <f>IF(A1284="","",IFERROR(INDEX(Testes!$N$2:$N$500,MATCH(A1284,Testes!$A$2:$A$500,0)),""))</f>
        <v/>
      </c>
      <c r="G1284" s="8">
        <f>IF(F1284="ocorrência","VP",IF(F1284="sem ocorrência","FP",""))</f>
        <v/>
      </c>
      <c r="H1284" s="7" t="n"/>
      <c r="I1284" s="8">
        <f>IF(H1284&lt;&gt;"",H1284,G1284)</f>
        <v/>
      </c>
    </row>
    <row r="1285">
      <c r="A1285" s="9" t="n"/>
      <c r="B1285" s="9" t="n"/>
      <c r="C1285" s="9" t="n"/>
      <c r="D1285" s="9" t="n"/>
      <c r="E1285" s="9" t="n"/>
      <c r="F1285" s="8">
        <f>IF(A1285="","",IFERROR(INDEX(Testes!$N$2:$N$500,MATCH(A1285,Testes!$A$2:$A$500,0)),""))</f>
        <v/>
      </c>
      <c r="G1285" s="8">
        <f>IF(F1285="ocorrência","VP",IF(F1285="sem ocorrência","FP",""))</f>
        <v/>
      </c>
      <c r="H1285" s="7" t="n"/>
      <c r="I1285" s="8">
        <f>IF(H1285&lt;&gt;"",H1285,G1285)</f>
        <v/>
      </c>
    </row>
    <row r="1286">
      <c r="A1286" s="9" t="n"/>
      <c r="B1286" s="9" t="n"/>
      <c r="C1286" s="9" t="n"/>
      <c r="D1286" s="9" t="n"/>
      <c r="E1286" s="9" t="n"/>
      <c r="F1286" s="8">
        <f>IF(A1286="","",IFERROR(INDEX(Testes!$N$2:$N$500,MATCH(A1286,Testes!$A$2:$A$500,0)),""))</f>
        <v/>
      </c>
      <c r="G1286" s="8">
        <f>IF(F1286="ocorrência","VP",IF(F1286="sem ocorrência","FP",""))</f>
        <v/>
      </c>
      <c r="H1286" s="7" t="n"/>
      <c r="I1286" s="8">
        <f>IF(H1286&lt;&gt;"",H1286,G1286)</f>
        <v/>
      </c>
    </row>
    <row r="1287">
      <c r="A1287" s="9" t="n"/>
      <c r="B1287" s="9" t="n"/>
      <c r="C1287" s="9" t="n"/>
      <c r="D1287" s="9" t="n"/>
      <c r="E1287" s="9" t="n"/>
      <c r="F1287" s="8">
        <f>IF(A1287="","",IFERROR(INDEX(Testes!$N$2:$N$500,MATCH(A1287,Testes!$A$2:$A$500,0)),""))</f>
        <v/>
      </c>
      <c r="G1287" s="8">
        <f>IF(F1287="ocorrência","VP",IF(F1287="sem ocorrência","FP",""))</f>
        <v/>
      </c>
      <c r="H1287" s="7" t="n"/>
      <c r="I1287" s="8">
        <f>IF(H1287&lt;&gt;"",H1287,G1287)</f>
        <v/>
      </c>
    </row>
    <row r="1288">
      <c r="A1288" s="9" t="n"/>
      <c r="B1288" s="9" t="n"/>
      <c r="C1288" s="9" t="n"/>
      <c r="D1288" s="9" t="n"/>
      <c r="E1288" s="9" t="n"/>
      <c r="F1288" s="8">
        <f>IF(A1288="","",IFERROR(INDEX(Testes!$N$2:$N$500,MATCH(A1288,Testes!$A$2:$A$500,0)),""))</f>
        <v/>
      </c>
      <c r="G1288" s="8">
        <f>IF(F1288="ocorrência","VP",IF(F1288="sem ocorrência","FP",""))</f>
        <v/>
      </c>
      <c r="H1288" s="7" t="n"/>
      <c r="I1288" s="8">
        <f>IF(H1288&lt;&gt;"",H1288,G1288)</f>
        <v/>
      </c>
    </row>
    <row r="1289">
      <c r="A1289" s="9" t="n"/>
      <c r="B1289" s="9" t="n"/>
      <c r="C1289" s="9" t="n"/>
      <c r="D1289" s="9" t="n"/>
      <c r="E1289" s="9" t="n"/>
      <c r="F1289" s="8">
        <f>IF(A1289="","",IFERROR(INDEX(Testes!$N$2:$N$500,MATCH(A1289,Testes!$A$2:$A$500,0)),""))</f>
        <v/>
      </c>
      <c r="G1289" s="8">
        <f>IF(F1289="ocorrência","VP",IF(F1289="sem ocorrência","FP",""))</f>
        <v/>
      </c>
      <c r="H1289" s="7" t="n"/>
      <c r="I1289" s="8">
        <f>IF(H1289&lt;&gt;"",H1289,G1289)</f>
        <v/>
      </c>
    </row>
    <row r="1290">
      <c r="A1290" s="9" t="n"/>
      <c r="B1290" s="9" t="n"/>
      <c r="C1290" s="9" t="n"/>
      <c r="D1290" s="9" t="n"/>
      <c r="E1290" s="9" t="n"/>
      <c r="F1290" s="8">
        <f>IF(A1290="","",IFERROR(INDEX(Testes!$N$2:$N$500,MATCH(A1290,Testes!$A$2:$A$500,0)),""))</f>
        <v/>
      </c>
      <c r="G1290" s="8">
        <f>IF(F1290="ocorrência","VP",IF(F1290="sem ocorrência","FP",""))</f>
        <v/>
      </c>
      <c r="H1290" s="7" t="n"/>
      <c r="I1290" s="8">
        <f>IF(H1290&lt;&gt;"",H1290,G1290)</f>
        <v/>
      </c>
    </row>
    <row r="1291">
      <c r="A1291" s="9" t="n"/>
      <c r="B1291" s="9" t="n"/>
      <c r="C1291" s="9" t="n"/>
      <c r="D1291" s="9" t="n"/>
      <c r="E1291" s="9" t="n"/>
      <c r="F1291" s="8">
        <f>IF(A1291="","",IFERROR(INDEX(Testes!$N$2:$N$500,MATCH(A1291,Testes!$A$2:$A$500,0)),""))</f>
        <v/>
      </c>
      <c r="G1291" s="8">
        <f>IF(F1291="ocorrência","VP",IF(F1291="sem ocorrência","FP",""))</f>
        <v/>
      </c>
      <c r="H1291" s="7" t="n"/>
      <c r="I1291" s="8">
        <f>IF(H1291&lt;&gt;"",H1291,G1291)</f>
        <v/>
      </c>
    </row>
    <row r="1292">
      <c r="A1292" s="9" t="n"/>
      <c r="B1292" s="9" t="n"/>
      <c r="C1292" s="9" t="n"/>
      <c r="D1292" s="9" t="n"/>
      <c r="E1292" s="9" t="n"/>
      <c r="F1292" s="8">
        <f>IF(A1292="","",IFERROR(INDEX(Testes!$N$2:$N$500,MATCH(A1292,Testes!$A$2:$A$500,0)),""))</f>
        <v/>
      </c>
      <c r="G1292" s="8">
        <f>IF(F1292="ocorrência","VP",IF(F1292="sem ocorrência","FP",""))</f>
        <v/>
      </c>
      <c r="H1292" s="7" t="n"/>
      <c r="I1292" s="8">
        <f>IF(H1292&lt;&gt;"",H1292,G1292)</f>
        <v/>
      </c>
    </row>
    <row r="1293">
      <c r="A1293" s="9" t="n"/>
      <c r="B1293" s="9" t="n"/>
      <c r="C1293" s="9" t="n"/>
      <c r="D1293" s="9" t="n"/>
      <c r="E1293" s="9" t="n"/>
      <c r="F1293" s="8">
        <f>IF(A1293="","",IFERROR(INDEX(Testes!$N$2:$N$500,MATCH(A1293,Testes!$A$2:$A$500,0)),""))</f>
        <v/>
      </c>
      <c r="G1293" s="8">
        <f>IF(F1293="ocorrência","VP",IF(F1293="sem ocorrência","FP",""))</f>
        <v/>
      </c>
      <c r="H1293" s="7" t="n"/>
      <c r="I1293" s="8">
        <f>IF(H1293&lt;&gt;"",H1293,G1293)</f>
        <v/>
      </c>
    </row>
    <row r="1294">
      <c r="A1294" s="9" t="n"/>
      <c r="B1294" s="9" t="n"/>
      <c r="C1294" s="9" t="n"/>
      <c r="D1294" s="9" t="n"/>
      <c r="E1294" s="9" t="n"/>
      <c r="F1294" s="8">
        <f>IF(A1294="","",IFERROR(INDEX(Testes!$N$2:$N$500,MATCH(A1294,Testes!$A$2:$A$500,0)),""))</f>
        <v/>
      </c>
      <c r="G1294" s="8">
        <f>IF(F1294="ocorrência","VP",IF(F1294="sem ocorrência","FP",""))</f>
        <v/>
      </c>
      <c r="H1294" s="7" t="n"/>
      <c r="I1294" s="8">
        <f>IF(H1294&lt;&gt;"",H1294,G1294)</f>
        <v/>
      </c>
    </row>
    <row r="1295">
      <c r="A1295" s="9" t="n"/>
      <c r="B1295" s="9" t="n"/>
      <c r="C1295" s="9" t="n"/>
      <c r="D1295" s="9" t="n"/>
      <c r="E1295" s="9" t="n"/>
      <c r="F1295" s="8">
        <f>IF(A1295="","",IFERROR(INDEX(Testes!$N$2:$N$500,MATCH(A1295,Testes!$A$2:$A$500,0)),""))</f>
        <v/>
      </c>
      <c r="G1295" s="8">
        <f>IF(F1295="ocorrência","VP",IF(F1295="sem ocorrência","FP",""))</f>
        <v/>
      </c>
      <c r="H1295" s="7" t="n"/>
      <c r="I1295" s="8">
        <f>IF(H1295&lt;&gt;"",H1295,G1295)</f>
        <v/>
      </c>
    </row>
    <row r="1296">
      <c r="A1296" s="9" t="n"/>
      <c r="B1296" s="9" t="n"/>
      <c r="C1296" s="9" t="n"/>
      <c r="D1296" s="9" t="n"/>
      <c r="E1296" s="9" t="n"/>
      <c r="F1296" s="8">
        <f>IF(A1296="","",IFERROR(INDEX(Testes!$N$2:$N$500,MATCH(A1296,Testes!$A$2:$A$500,0)),""))</f>
        <v/>
      </c>
      <c r="G1296" s="8">
        <f>IF(F1296="ocorrência","VP",IF(F1296="sem ocorrência","FP",""))</f>
        <v/>
      </c>
      <c r="H1296" s="7" t="n"/>
      <c r="I1296" s="8">
        <f>IF(H1296&lt;&gt;"",H1296,G1296)</f>
        <v/>
      </c>
    </row>
    <row r="1297">
      <c r="A1297" s="9" t="n"/>
      <c r="B1297" s="9" t="n"/>
      <c r="C1297" s="9" t="n"/>
      <c r="D1297" s="9" t="n"/>
      <c r="E1297" s="9" t="n"/>
      <c r="F1297" s="8">
        <f>IF(A1297="","",IFERROR(INDEX(Testes!$N$2:$N$500,MATCH(A1297,Testes!$A$2:$A$500,0)),""))</f>
        <v/>
      </c>
      <c r="G1297" s="8">
        <f>IF(F1297="ocorrência","VP",IF(F1297="sem ocorrência","FP",""))</f>
        <v/>
      </c>
      <c r="H1297" s="7" t="n"/>
      <c r="I1297" s="8">
        <f>IF(H1297&lt;&gt;"",H1297,G1297)</f>
        <v/>
      </c>
    </row>
    <row r="1298">
      <c r="A1298" s="9" t="n"/>
      <c r="B1298" s="9" t="n"/>
      <c r="C1298" s="9" t="n"/>
      <c r="D1298" s="9" t="n"/>
      <c r="E1298" s="9" t="n"/>
      <c r="F1298" s="8">
        <f>IF(A1298="","",IFERROR(INDEX(Testes!$N$2:$N$500,MATCH(A1298,Testes!$A$2:$A$500,0)),""))</f>
        <v/>
      </c>
      <c r="G1298" s="8">
        <f>IF(F1298="ocorrência","VP",IF(F1298="sem ocorrência","FP",""))</f>
        <v/>
      </c>
      <c r="H1298" s="7" t="n"/>
      <c r="I1298" s="8">
        <f>IF(H1298&lt;&gt;"",H1298,G1298)</f>
        <v/>
      </c>
    </row>
    <row r="1299">
      <c r="A1299" s="9" t="n"/>
      <c r="B1299" s="9" t="n"/>
      <c r="C1299" s="9" t="n"/>
      <c r="D1299" s="9" t="n"/>
      <c r="E1299" s="9" t="n"/>
      <c r="F1299" s="8">
        <f>IF(A1299="","",IFERROR(INDEX(Testes!$N$2:$N$500,MATCH(A1299,Testes!$A$2:$A$500,0)),""))</f>
        <v/>
      </c>
      <c r="G1299" s="8">
        <f>IF(F1299="ocorrência","VP",IF(F1299="sem ocorrência","FP",""))</f>
        <v/>
      </c>
      <c r="H1299" s="7" t="n"/>
      <c r="I1299" s="8">
        <f>IF(H1299&lt;&gt;"",H1299,G1299)</f>
        <v/>
      </c>
    </row>
    <row r="1300">
      <c r="A1300" s="9" t="n"/>
      <c r="B1300" s="9" t="n"/>
      <c r="C1300" s="9" t="n"/>
      <c r="D1300" s="9" t="n"/>
      <c r="E1300" s="9" t="n"/>
      <c r="F1300" s="8">
        <f>IF(A1300="","",IFERROR(INDEX(Testes!$N$2:$N$500,MATCH(A1300,Testes!$A$2:$A$500,0)),""))</f>
        <v/>
      </c>
      <c r="G1300" s="8">
        <f>IF(F1300="ocorrência","VP",IF(F1300="sem ocorrência","FP",""))</f>
        <v/>
      </c>
      <c r="H1300" s="7" t="n"/>
      <c r="I1300" s="8">
        <f>IF(H1300&lt;&gt;"",H1300,G1300)</f>
        <v/>
      </c>
    </row>
    <row r="1301">
      <c r="A1301" s="9" t="n"/>
      <c r="B1301" s="9" t="n"/>
      <c r="C1301" s="9" t="n"/>
      <c r="D1301" s="9" t="n"/>
      <c r="E1301" s="9" t="n"/>
      <c r="F1301" s="8">
        <f>IF(A1301="","",IFERROR(INDEX(Testes!$N$2:$N$500,MATCH(A1301,Testes!$A$2:$A$500,0)),""))</f>
        <v/>
      </c>
      <c r="G1301" s="8">
        <f>IF(F1301="ocorrência","VP",IF(F1301="sem ocorrência","FP",""))</f>
        <v/>
      </c>
      <c r="H1301" s="7" t="n"/>
      <c r="I1301" s="8">
        <f>IF(H1301&lt;&gt;"",H1301,G1301)</f>
        <v/>
      </c>
    </row>
    <row r="1302">
      <c r="A1302" s="9" t="n"/>
      <c r="B1302" s="9" t="n"/>
      <c r="C1302" s="9" t="n"/>
      <c r="D1302" s="9" t="n"/>
      <c r="E1302" s="9" t="n"/>
      <c r="F1302" s="8">
        <f>IF(A1302="","",IFERROR(INDEX(Testes!$N$2:$N$500,MATCH(A1302,Testes!$A$2:$A$500,0)),""))</f>
        <v/>
      </c>
      <c r="G1302" s="8">
        <f>IF(F1302="ocorrência","VP",IF(F1302="sem ocorrência","FP",""))</f>
        <v/>
      </c>
      <c r="H1302" s="7" t="n"/>
      <c r="I1302" s="8">
        <f>IF(H1302&lt;&gt;"",H1302,G1302)</f>
        <v/>
      </c>
    </row>
    <row r="1303">
      <c r="A1303" s="9" t="n"/>
      <c r="B1303" s="9" t="n"/>
      <c r="C1303" s="9" t="n"/>
      <c r="D1303" s="9" t="n"/>
      <c r="E1303" s="9" t="n"/>
      <c r="F1303" s="8">
        <f>IF(A1303="","",IFERROR(INDEX(Testes!$N$2:$N$500,MATCH(A1303,Testes!$A$2:$A$500,0)),""))</f>
        <v/>
      </c>
      <c r="G1303" s="8">
        <f>IF(F1303="ocorrência","VP",IF(F1303="sem ocorrência","FP",""))</f>
        <v/>
      </c>
      <c r="H1303" s="7" t="n"/>
      <c r="I1303" s="8">
        <f>IF(H1303&lt;&gt;"",H1303,G1303)</f>
        <v/>
      </c>
    </row>
    <row r="1304">
      <c r="A1304" s="9" t="n"/>
      <c r="B1304" s="9" t="n"/>
      <c r="C1304" s="9" t="n"/>
      <c r="D1304" s="9" t="n"/>
      <c r="E1304" s="9" t="n"/>
      <c r="F1304" s="8">
        <f>IF(A1304="","",IFERROR(INDEX(Testes!$N$2:$N$500,MATCH(A1304,Testes!$A$2:$A$500,0)),""))</f>
        <v/>
      </c>
      <c r="G1304" s="8">
        <f>IF(F1304="ocorrência","VP",IF(F1304="sem ocorrência","FP",""))</f>
        <v/>
      </c>
      <c r="H1304" s="7" t="n"/>
      <c r="I1304" s="8">
        <f>IF(H1304&lt;&gt;"",H1304,G1304)</f>
        <v/>
      </c>
    </row>
    <row r="1305">
      <c r="A1305" s="9" t="n"/>
      <c r="B1305" s="9" t="n"/>
      <c r="C1305" s="9" t="n"/>
      <c r="D1305" s="9" t="n"/>
      <c r="E1305" s="9" t="n"/>
      <c r="F1305" s="8">
        <f>IF(A1305="","",IFERROR(INDEX(Testes!$N$2:$N$500,MATCH(A1305,Testes!$A$2:$A$500,0)),""))</f>
        <v/>
      </c>
      <c r="G1305" s="8">
        <f>IF(F1305="ocorrência","VP",IF(F1305="sem ocorrência","FP",""))</f>
        <v/>
      </c>
      <c r="H1305" s="7" t="n"/>
      <c r="I1305" s="8">
        <f>IF(H1305&lt;&gt;"",H1305,G1305)</f>
        <v/>
      </c>
    </row>
    <row r="1306">
      <c r="A1306" s="9" t="n"/>
      <c r="B1306" s="9" t="n"/>
      <c r="C1306" s="9" t="n"/>
      <c r="D1306" s="9" t="n"/>
      <c r="E1306" s="9" t="n"/>
      <c r="F1306" s="8">
        <f>IF(A1306="","",IFERROR(INDEX(Testes!$N$2:$N$500,MATCH(A1306,Testes!$A$2:$A$500,0)),""))</f>
        <v/>
      </c>
      <c r="G1306" s="8">
        <f>IF(F1306="ocorrência","VP",IF(F1306="sem ocorrência","FP",""))</f>
        <v/>
      </c>
      <c r="H1306" s="7" t="n"/>
      <c r="I1306" s="8">
        <f>IF(H1306&lt;&gt;"",H1306,G1306)</f>
        <v/>
      </c>
    </row>
    <row r="1307">
      <c r="A1307" s="9" t="n"/>
      <c r="B1307" s="9" t="n"/>
      <c r="C1307" s="9" t="n"/>
      <c r="D1307" s="9" t="n"/>
      <c r="E1307" s="9" t="n"/>
      <c r="F1307" s="8">
        <f>IF(A1307="","",IFERROR(INDEX(Testes!$N$2:$N$500,MATCH(A1307,Testes!$A$2:$A$500,0)),""))</f>
        <v/>
      </c>
      <c r="G1307" s="8">
        <f>IF(F1307="ocorrência","VP",IF(F1307="sem ocorrência","FP",""))</f>
        <v/>
      </c>
      <c r="H1307" s="7" t="n"/>
      <c r="I1307" s="8">
        <f>IF(H1307&lt;&gt;"",H1307,G1307)</f>
        <v/>
      </c>
    </row>
    <row r="1308">
      <c r="A1308" s="9" t="n"/>
      <c r="B1308" s="9" t="n"/>
      <c r="C1308" s="9" t="n"/>
      <c r="D1308" s="9" t="n"/>
      <c r="E1308" s="9" t="n"/>
      <c r="F1308" s="8">
        <f>IF(A1308="","",IFERROR(INDEX(Testes!$N$2:$N$500,MATCH(A1308,Testes!$A$2:$A$500,0)),""))</f>
        <v/>
      </c>
      <c r="G1308" s="8">
        <f>IF(F1308="ocorrência","VP",IF(F1308="sem ocorrência","FP",""))</f>
        <v/>
      </c>
      <c r="H1308" s="7" t="n"/>
      <c r="I1308" s="8">
        <f>IF(H1308&lt;&gt;"",H1308,G1308)</f>
        <v/>
      </c>
    </row>
    <row r="1309">
      <c r="A1309" s="9" t="n"/>
      <c r="B1309" s="9" t="n"/>
      <c r="C1309" s="9" t="n"/>
      <c r="D1309" s="9" t="n"/>
      <c r="E1309" s="9" t="n"/>
      <c r="F1309" s="8">
        <f>IF(A1309="","",IFERROR(INDEX(Testes!$N$2:$N$500,MATCH(A1309,Testes!$A$2:$A$500,0)),""))</f>
        <v/>
      </c>
      <c r="G1309" s="8">
        <f>IF(F1309="ocorrência","VP",IF(F1309="sem ocorrência","FP",""))</f>
        <v/>
      </c>
      <c r="H1309" s="7" t="n"/>
      <c r="I1309" s="8">
        <f>IF(H1309&lt;&gt;"",H1309,G1309)</f>
        <v/>
      </c>
    </row>
    <row r="1310">
      <c r="A1310" s="9" t="n"/>
      <c r="B1310" s="9" t="n"/>
      <c r="C1310" s="9" t="n"/>
      <c r="D1310" s="9" t="n"/>
      <c r="E1310" s="9" t="n"/>
      <c r="F1310" s="8">
        <f>IF(A1310="","",IFERROR(INDEX(Testes!$N$2:$N$500,MATCH(A1310,Testes!$A$2:$A$500,0)),""))</f>
        <v/>
      </c>
      <c r="G1310" s="8">
        <f>IF(F1310="ocorrência","VP",IF(F1310="sem ocorrência","FP",""))</f>
        <v/>
      </c>
      <c r="H1310" s="7" t="n"/>
      <c r="I1310" s="8">
        <f>IF(H1310&lt;&gt;"",H1310,G1310)</f>
        <v/>
      </c>
    </row>
    <row r="1311">
      <c r="A1311" s="9" t="n"/>
      <c r="B1311" s="9" t="n"/>
      <c r="C1311" s="9" t="n"/>
      <c r="D1311" s="9" t="n"/>
      <c r="E1311" s="9" t="n"/>
      <c r="F1311" s="8">
        <f>IF(A1311="","",IFERROR(INDEX(Testes!$N$2:$N$500,MATCH(A1311,Testes!$A$2:$A$500,0)),""))</f>
        <v/>
      </c>
      <c r="G1311" s="8">
        <f>IF(F1311="ocorrência","VP",IF(F1311="sem ocorrência","FP",""))</f>
        <v/>
      </c>
      <c r="H1311" s="7" t="n"/>
      <c r="I1311" s="8">
        <f>IF(H1311&lt;&gt;"",H1311,G1311)</f>
        <v/>
      </c>
    </row>
    <row r="1312">
      <c r="A1312" s="9" t="n"/>
      <c r="B1312" s="9" t="n"/>
      <c r="C1312" s="9" t="n"/>
      <c r="D1312" s="9" t="n"/>
      <c r="E1312" s="9" t="n"/>
      <c r="F1312" s="8">
        <f>IF(A1312="","",IFERROR(INDEX(Testes!$N$2:$N$500,MATCH(A1312,Testes!$A$2:$A$500,0)),""))</f>
        <v/>
      </c>
      <c r="G1312" s="8">
        <f>IF(F1312="ocorrência","VP",IF(F1312="sem ocorrência","FP",""))</f>
        <v/>
      </c>
      <c r="H1312" s="7" t="n"/>
      <c r="I1312" s="8">
        <f>IF(H1312&lt;&gt;"",H1312,G1312)</f>
        <v/>
      </c>
    </row>
    <row r="1313">
      <c r="A1313" s="9" t="n"/>
      <c r="B1313" s="9" t="n"/>
      <c r="C1313" s="9" t="n"/>
      <c r="D1313" s="9" t="n"/>
      <c r="E1313" s="9" t="n"/>
      <c r="F1313" s="8">
        <f>IF(A1313="","",IFERROR(INDEX(Testes!$N$2:$N$500,MATCH(A1313,Testes!$A$2:$A$500,0)),""))</f>
        <v/>
      </c>
      <c r="G1313" s="8">
        <f>IF(F1313="ocorrência","VP",IF(F1313="sem ocorrência","FP",""))</f>
        <v/>
      </c>
      <c r="H1313" s="7" t="n"/>
      <c r="I1313" s="8">
        <f>IF(H1313&lt;&gt;"",H1313,G1313)</f>
        <v/>
      </c>
    </row>
    <row r="1314">
      <c r="A1314" s="9" t="n"/>
      <c r="B1314" s="9" t="n"/>
      <c r="C1314" s="9" t="n"/>
      <c r="D1314" s="9" t="n"/>
      <c r="E1314" s="9" t="n"/>
      <c r="F1314" s="8">
        <f>IF(A1314="","",IFERROR(INDEX(Testes!$N$2:$N$500,MATCH(A1314,Testes!$A$2:$A$500,0)),""))</f>
        <v/>
      </c>
      <c r="G1314" s="8">
        <f>IF(F1314="ocorrência","VP",IF(F1314="sem ocorrência","FP",""))</f>
        <v/>
      </c>
      <c r="H1314" s="7" t="n"/>
      <c r="I1314" s="8">
        <f>IF(H1314&lt;&gt;"",H1314,G1314)</f>
        <v/>
      </c>
    </row>
    <row r="1315">
      <c r="A1315" s="9" t="n"/>
      <c r="B1315" s="9" t="n"/>
      <c r="C1315" s="9" t="n"/>
      <c r="D1315" s="9" t="n"/>
      <c r="E1315" s="9" t="n"/>
      <c r="F1315" s="8">
        <f>IF(A1315="","",IFERROR(INDEX(Testes!$N$2:$N$500,MATCH(A1315,Testes!$A$2:$A$500,0)),""))</f>
        <v/>
      </c>
      <c r="G1315" s="8">
        <f>IF(F1315="ocorrência","VP",IF(F1315="sem ocorrência","FP",""))</f>
        <v/>
      </c>
      <c r="H1315" s="7" t="n"/>
      <c r="I1315" s="8">
        <f>IF(H1315&lt;&gt;"",H1315,G1315)</f>
        <v/>
      </c>
    </row>
    <row r="1316">
      <c r="A1316" s="9" t="n"/>
      <c r="B1316" s="9" t="n"/>
      <c r="C1316" s="9" t="n"/>
      <c r="D1316" s="9" t="n"/>
      <c r="E1316" s="9" t="n"/>
      <c r="F1316" s="8">
        <f>IF(A1316="","",IFERROR(INDEX(Testes!$N$2:$N$500,MATCH(A1316,Testes!$A$2:$A$500,0)),""))</f>
        <v/>
      </c>
      <c r="G1316" s="8">
        <f>IF(F1316="ocorrência","VP",IF(F1316="sem ocorrência","FP",""))</f>
        <v/>
      </c>
      <c r="H1316" s="7" t="n"/>
      <c r="I1316" s="8">
        <f>IF(H1316&lt;&gt;"",H1316,G1316)</f>
        <v/>
      </c>
    </row>
    <row r="1317">
      <c r="A1317" s="9" t="n"/>
      <c r="B1317" s="9" t="n"/>
      <c r="C1317" s="9" t="n"/>
      <c r="D1317" s="9" t="n"/>
      <c r="E1317" s="9" t="n"/>
      <c r="F1317" s="8">
        <f>IF(A1317="","",IFERROR(INDEX(Testes!$N$2:$N$500,MATCH(A1317,Testes!$A$2:$A$500,0)),""))</f>
        <v/>
      </c>
      <c r="G1317" s="8">
        <f>IF(F1317="ocorrência","VP",IF(F1317="sem ocorrência","FP",""))</f>
        <v/>
      </c>
      <c r="H1317" s="7" t="n"/>
      <c r="I1317" s="8">
        <f>IF(H1317&lt;&gt;"",H1317,G1317)</f>
        <v/>
      </c>
    </row>
    <row r="1318">
      <c r="A1318" s="9" t="n"/>
      <c r="B1318" s="9" t="n"/>
      <c r="C1318" s="9" t="n"/>
      <c r="D1318" s="9" t="n"/>
      <c r="E1318" s="9" t="n"/>
      <c r="F1318" s="8">
        <f>IF(A1318="","",IFERROR(INDEX(Testes!$N$2:$N$500,MATCH(A1318,Testes!$A$2:$A$500,0)),""))</f>
        <v/>
      </c>
      <c r="G1318" s="8">
        <f>IF(F1318="ocorrência","VP",IF(F1318="sem ocorrência","FP",""))</f>
        <v/>
      </c>
      <c r="H1318" s="7" t="n"/>
      <c r="I1318" s="8">
        <f>IF(H1318&lt;&gt;"",H1318,G1318)</f>
        <v/>
      </c>
    </row>
    <row r="1319">
      <c r="A1319" s="9" t="n"/>
      <c r="B1319" s="9" t="n"/>
      <c r="C1319" s="9" t="n"/>
      <c r="D1319" s="9" t="n"/>
      <c r="E1319" s="9" t="n"/>
      <c r="F1319" s="8">
        <f>IF(A1319="","",IFERROR(INDEX(Testes!$N$2:$N$500,MATCH(A1319,Testes!$A$2:$A$500,0)),""))</f>
        <v/>
      </c>
      <c r="G1319" s="8">
        <f>IF(F1319="ocorrência","VP",IF(F1319="sem ocorrência","FP",""))</f>
        <v/>
      </c>
      <c r="H1319" s="7" t="n"/>
      <c r="I1319" s="8">
        <f>IF(H1319&lt;&gt;"",H1319,G1319)</f>
        <v/>
      </c>
    </row>
    <row r="1320">
      <c r="A1320" s="9" t="n"/>
      <c r="B1320" s="9" t="n"/>
      <c r="C1320" s="9" t="n"/>
      <c r="D1320" s="9" t="n"/>
      <c r="E1320" s="9" t="n"/>
      <c r="F1320" s="8">
        <f>IF(A1320="","",IFERROR(INDEX(Testes!$N$2:$N$500,MATCH(A1320,Testes!$A$2:$A$500,0)),""))</f>
        <v/>
      </c>
      <c r="G1320" s="8">
        <f>IF(F1320="ocorrência","VP",IF(F1320="sem ocorrência","FP",""))</f>
        <v/>
      </c>
      <c r="H1320" s="7" t="n"/>
      <c r="I1320" s="8">
        <f>IF(H1320&lt;&gt;"",H1320,G1320)</f>
        <v/>
      </c>
    </row>
    <row r="1321">
      <c r="A1321" s="9" t="n"/>
      <c r="B1321" s="9" t="n"/>
      <c r="C1321" s="9" t="n"/>
      <c r="D1321" s="9" t="n"/>
      <c r="E1321" s="9" t="n"/>
      <c r="F1321" s="8">
        <f>IF(A1321="","",IFERROR(INDEX(Testes!$N$2:$N$500,MATCH(A1321,Testes!$A$2:$A$500,0)),""))</f>
        <v/>
      </c>
      <c r="G1321" s="8">
        <f>IF(F1321="ocorrência","VP",IF(F1321="sem ocorrência","FP",""))</f>
        <v/>
      </c>
      <c r="H1321" s="7" t="n"/>
      <c r="I1321" s="8">
        <f>IF(H1321&lt;&gt;"",H1321,G1321)</f>
        <v/>
      </c>
    </row>
    <row r="1322">
      <c r="A1322" s="9" t="n"/>
      <c r="B1322" s="9" t="n"/>
      <c r="C1322" s="9" t="n"/>
      <c r="D1322" s="9" t="n"/>
      <c r="E1322" s="9" t="n"/>
      <c r="F1322" s="8">
        <f>IF(A1322="","",IFERROR(INDEX(Testes!$N$2:$N$500,MATCH(A1322,Testes!$A$2:$A$500,0)),""))</f>
        <v/>
      </c>
      <c r="G1322" s="8">
        <f>IF(F1322="ocorrência","VP",IF(F1322="sem ocorrência","FP",""))</f>
        <v/>
      </c>
      <c r="H1322" s="7" t="n"/>
      <c r="I1322" s="8">
        <f>IF(H1322&lt;&gt;"",H1322,G1322)</f>
        <v/>
      </c>
    </row>
    <row r="1323">
      <c r="A1323" s="9" t="n"/>
      <c r="B1323" s="9" t="n"/>
      <c r="C1323" s="9" t="n"/>
      <c r="D1323" s="9" t="n"/>
      <c r="E1323" s="9" t="n"/>
      <c r="F1323" s="8">
        <f>IF(A1323="","",IFERROR(INDEX(Testes!$N$2:$N$500,MATCH(A1323,Testes!$A$2:$A$500,0)),""))</f>
        <v/>
      </c>
      <c r="G1323" s="8">
        <f>IF(F1323="ocorrência","VP",IF(F1323="sem ocorrência","FP",""))</f>
        <v/>
      </c>
      <c r="H1323" s="7" t="n"/>
      <c r="I1323" s="8">
        <f>IF(H1323&lt;&gt;"",H1323,G1323)</f>
        <v/>
      </c>
    </row>
    <row r="1324">
      <c r="A1324" s="9" t="n"/>
      <c r="B1324" s="9" t="n"/>
      <c r="C1324" s="9" t="n"/>
      <c r="D1324" s="9" t="n"/>
      <c r="E1324" s="9" t="n"/>
      <c r="F1324" s="8">
        <f>IF(A1324="","",IFERROR(INDEX(Testes!$N$2:$N$500,MATCH(A1324,Testes!$A$2:$A$500,0)),""))</f>
        <v/>
      </c>
      <c r="G1324" s="8">
        <f>IF(F1324="ocorrência","VP",IF(F1324="sem ocorrência","FP",""))</f>
        <v/>
      </c>
      <c r="H1324" s="7" t="n"/>
      <c r="I1324" s="8">
        <f>IF(H1324&lt;&gt;"",H1324,G1324)</f>
        <v/>
      </c>
    </row>
    <row r="1325">
      <c r="A1325" s="9" t="n"/>
      <c r="B1325" s="9" t="n"/>
      <c r="C1325" s="9" t="n"/>
      <c r="D1325" s="9" t="n"/>
      <c r="E1325" s="9" t="n"/>
      <c r="F1325" s="8">
        <f>IF(A1325="","",IFERROR(INDEX(Testes!$N$2:$N$500,MATCH(A1325,Testes!$A$2:$A$500,0)),""))</f>
        <v/>
      </c>
      <c r="G1325" s="8">
        <f>IF(F1325="ocorrência","VP",IF(F1325="sem ocorrência","FP",""))</f>
        <v/>
      </c>
      <c r="H1325" s="7" t="n"/>
      <c r="I1325" s="8">
        <f>IF(H1325&lt;&gt;"",H1325,G1325)</f>
        <v/>
      </c>
    </row>
    <row r="1326">
      <c r="A1326" s="9" t="n"/>
      <c r="B1326" s="9" t="n"/>
      <c r="C1326" s="9" t="n"/>
      <c r="D1326" s="9" t="n"/>
      <c r="E1326" s="9" t="n"/>
      <c r="F1326" s="8">
        <f>IF(A1326="","",IFERROR(INDEX(Testes!$N$2:$N$500,MATCH(A1326,Testes!$A$2:$A$500,0)),""))</f>
        <v/>
      </c>
      <c r="G1326" s="8">
        <f>IF(F1326="ocorrência","VP",IF(F1326="sem ocorrência","FP",""))</f>
        <v/>
      </c>
      <c r="H1326" s="7" t="n"/>
      <c r="I1326" s="8">
        <f>IF(H1326&lt;&gt;"",H1326,G1326)</f>
        <v/>
      </c>
    </row>
    <row r="1327">
      <c r="A1327" s="9" t="n"/>
      <c r="B1327" s="9" t="n"/>
      <c r="C1327" s="9" t="n"/>
      <c r="D1327" s="9" t="n"/>
      <c r="E1327" s="9" t="n"/>
      <c r="F1327" s="8">
        <f>IF(A1327="","",IFERROR(INDEX(Testes!$N$2:$N$500,MATCH(A1327,Testes!$A$2:$A$500,0)),""))</f>
        <v/>
      </c>
      <c r="G1327" s="8">
        <f>IF(F1327="ocorrência","VP",IF(F1327="sem ocorrência","FP",""))</f>
        <v/>
      </c>
      <c r="H1327" s="7" t="n"/>
      <c r="I1327" s="8">
        <f>IF(H1327&lt;&gt;"",H1327,G1327)</f>
        <v/>
      </c>
    </row>
    <row r="1328">
      <c r="A1328" s="9" t="n"/>
      <c r="B1328" s="9" t="n"/>
      <c r="C1328" s="9" t="n"/>
      <c r="D1328" s="9" t="n"/>
      <c r="E1328" s="9" t="n"/>
      <c r="F1328" s="8">
        <f>IF(A1328="","",IFERROR(INDEX(Testes!$N$2:$N$500,MATCH(A1328,Testes!$A$2:$A$500,0)),""))</f>
        <v/>
      </c>
      <c r="G1328" s="8">
        <f>IF(F1328="ocorrência","VP",IF(F1328="sem ocorrência","FP",""))</f>
        <v/>
      </c>
      <c r="H1328" s="7" t="n"/>
      <c r="I1328" s="8">
        <f>IF(H1328&lt;&gt;"",H1328,G1328)</f>
        <v/>
      </c>
    </row>
    <row r="1329">
      <c r="A1329" s="9" t="n"/>
      <c r="B1329" s="9" t="n"/>
      <c r="C1329" s="9" t="n"/>
      <c r="D1329" s="9" t="n"/>
      <c r="E1329" s="9" t="n"/>
      <c r="F1329" s="8">
        <f>IF(A1329="","",IFERROR(INDEX(Testes!$N$2:$N$500,MATCH(A1329,Testes!$A$2:$A$500,0)),""))</f>
        <v/>
      </c>
      <c r="G1329" s="8">
        <f>IF(F1329="ocorrência","VP",IF(F1329="sem ocorrência","FP",""))</f>
        <v/>
      </c>
      <c r="H1329" s="7" t="n"/>
      <c r="I1329" s="8">
        <f>IF(H1329&lt;&gt;"",H1329,G1329)</f>
        <v/>
      </c>
    </row>
    <row r="1330">
      <c r="A1330" s="9" t="n"/>
      <c r="B1330" s="9" t="n"/>
      <c r="C1330" s="9" t="n"/>
      <c r="D1330" s="9" t="n"/>
      <c r="E1330" s="9" t="n"/>
      <c r="F1330" s="8">
        <f>IF(A1330="","",IFERROR(INDEX(Testes!$N$2:$N$500,MATCH(A1330,Testes!$A$2:$A$500,0)),""))</f>
        <v/>
      </c>
      <c r="G1330" s="8">
        <f>IF(F1330="ocorrência","VP",IF(F1330="sem ocorrência","FP",""))</f>
        <v/>
      </c>
      <c r="H1330" s="7" t="n"/>
      <c r="I1330" s="8">
        <f>IF(H1330&lt;&gt;"",H1330,G1330)</f>
        <v/>
      </c>
    </row>
    <row r="1331">
      <c r="A1331" s="9" t="n"/>
      <c r="B1331" s="9" t="n"/>
      <c r="C1331" s="9" t="n"/>
      <c r="D1331" s="9" t="n"/>
      <c r="E1331" s="9" t="n"/>
      <c r="F1331" s="8">
        <f>IF(A1331="","",IFERROR(INDEX(Testes!$N$2:$N$500,MATCH(A1331,Testes!$A$2:$A$500,0)),""))</f>
        <v/>
      </c>
      <c r="G1331" s="8">
        <f>IF(F1331="ocorrência","VP",IF(F1331="sem ocorrência","FP",""))</f>
        <v/>
      </c>
      <c r="H1331" s="7" t="n"/>
      <c r="I1331" s="8">
        <f>IF(H1331&lt;&gt;"",H1331,G1331)</f>
        <v/>
      </c>
    </row>
    <row r="1332">
      <c r="A1332" s="9" t="n"/>
      <c r="B1332" s="9" t="n"/>
      <c r="C1332" s="9" t="n"/>
      <c r="D1332" s="9" t="n"/>
      <c r="E1332" s="9" t="n"/>
      <c r="F1332" s="8">
        <f>IF(A1332="","",IFERROR(INDEX(Testes!$N$2:$N$500,MATCH(A1332,Testes!$A$2:$A$500,0)),""))</f>
        <v/>
      </c>
      <c r="G1332" s="8">
        <f>IF(F1332="ocorrência","VP",IF(F1332="sem ocorrência","FP",""))</f>
        <v/>
      </c>
      <c r="H1332" s="7" t="n"/>
      <c r="I1332" s="8">
        <f>IF(H1332&lt;&gt;"",H1332,G1332)</f>
        <v/>
      </c>
    </row>
    <row r="1333">
      <c r="A1333" s="9" t="n"/>
      <c r="B1333" s="9" t="n"/>
      <c r="C1333" s="9" t="n"/>
      <c r="D1333" s="9" t="n"/>
      <c r="E1333" s="9" t="n"/>
      <c r="F1333" s="8">
        <f>IF(A1333="","",IFERROR(INDEX(Testes!$N$2:$N$500,MATCH(A1333,Testes!$A$2:$A$500,0)),""))</f>
        <v/>
      </c>
      <c r="G1333" s="8">
        <f>IF(F1333="ocorrência","VP",IF(F1333="sem ocorrência","FP",""))</f>
        <v/>
      </c>
      <c r="H1333" s="7" t="n"/>
      <c r="I1333" s="8">
        <f>IF(H1333&lt;&gt;"",H1333,G1333)</f>
        <v/>
      </c>
    </row>
    <row r="1334">
      <c r="A1334" s="9" t="n"/>
      <c r="B1334" s="9" t="n"/>
      <c r="C1334" s="9" t="n"/>
      <c r="D1334" s="9" t="n"/>
      <c r="E1334" s="9" t="n"/>
      <c r="F1334" s="8">
        <f>IF(A1334="","",IFERROR(INDEX(Testes!$N$2:$N$500,MATCH(A1334,Testes!$A$2:$A$500,0)),""))</f>
        <v/>
      </c>
      <c r="G1334" s="8">
        <f>IF(F1334="ocorrência","VP",IF(F1334="sem ocorrência","FP",""))</f>
        <v/>
      </c>
      <c r="H1334" s="7" t="n"/>
      <c r="I1334" s="8">
        <f>IF(H1334&lt;&gt;"",H1334,G1334)</f>
        <v/>
      </c>
    </row>
    <row r="1335">
      <c r="A1335" s="9" t="n"/>
      <c r="B1335" s="9" t="n"/>
      <c r="C1335" s="9" t="n"/>
      <c r="D1335" s="9" t="n"/>
      <c r="E1335" s="9" t="n"/>
      <c r="F1335" s="8">
        <f>IF(A1335="","",IFERROR(INDEX(Testes!$N$2:$N$500,MATCH(A1335,Testes!$A$2:$A$500,0)),""))</f>
        <v/>
      </c>
      <c r="G1335" s="8">
        <f>IF(F1335="ocorrência","VP",IF(F1335="sem ocorrência","FP",""))</f>
        <v/>
      </c>
      <c r="H1335" s="7" t="n"/>
      <c r="I1335" s="8">
        <f>IF(H1335&lt;&gt;"",H1335,G1335)</f>
        <v/>
      </c>
    </row>
    <row r="1336">
      <c r="A1336" s="9" t="n"/>
      <c r="B1336" s="9" t="n"/>
      <c r="C1336" s="9" t="n"/>
      <c r="D1336" s="9" t="n"/>
      <c r="E1336" s="9" t="n"/>
      <c r="F1336" s="8">
        <f>IF(A1336="","",IFERROR(INDEX(Testes!$N$2:$N$500,MATCH(A1336,Testes!$A$2:$A$500,0)),""))</f>
        <v/>
      </c>
      <c r="G1336" s="8">
        <f>IF(F1336="ocorrência","VP",IF(F1336="sem ocorrência","FP",""))</f>
        <v/>
      </c>
      <c r="H1336" s="7" t="n"/>
      <c r="I1336" s="8">
        <f>IF(H1336&lt;&gt;"",H1336,G1336)</f>
        <v/>
      </c>
    </row>
    <row r="1337">
      <c r="A1337" s="9" t="n"/>
      <c r="B1337" s="9" t="n"/>
      <c r="C1337" s="9" t="n"/>
      <c r="D1337" s="9" t="n"/>
      <c r="E1337" s="9" t="n"/>
      <c r="F1337" s="8">
        <f>IF(A1337="","",IFERROR(INDEX(Testes!$N$2:$N$500,MATCH(A1337,Testes!$A$2:$A$500,0)),""))</f>
        <v/>
      </c>
      <c r="G1337" s="8">
        <f>IF(F1337="ocorrência","VP",IF(F1337="sem ocorrência","FP",""))</f>
        <v/>
      </c>
      <c r="H1337" s="7" t="n"/>
      <c r="I1337" s="8">
        <f>IF(H1337&lt;&gt;"",H1337,G1337)</f>
        <v/>
      </c>
    </row>
    <row r="1338">
      <c r="A1338" s="9" t="n"/>
      <c r="B1338" s="9" t="n"/>
      <c r="C1338" s="9" t="n"/>
      <c r="D1338" s="9" t="n"/>
      <c r="E1338" s="9" t="n"/>
      <c r="F1338" s="8">
        <f>IF(A1338="","",IFERROR(INDEX(Testes!$N$2:$N$500,MATCH(A1338,Testes!$A$2:$A$500,0)),""))</f>
        <v/>
      </c>
      <c r="G1338" s="8">
        <f>IF(F1338="ocorrência","VP",IF(F1338="sem ocorrência","FP",""))</f>
        <v/>
      </c>
      <c r="H1338" s="7" t="n"/>
      <c r="I1338" s="8">
        <f>IF(H1338&lt;&gt;"",H1338,G1338)</f>
        <v/>
      </c>
    </row>
    <row r="1339">
      <c r="A1339" s="9" t="n"/>
      <c r="B1339" s="9" t="n"/>
      <c r="C1339" s="9" t="n"/>
      <c r="D1339" s="9" t="n"/>
      <c r="E1339" s="9" t="n"/>
      <c r="F1339" s="8">
        <f>IF(A1339="","",IFERROR(INDEX(Testes!$N$2:$N$500,MATCH(A1339,Testes!$A$2:$A$500,0)),""))</f>
        <v/>
      </c>
      <c r="G1339" s="8">
        <f>IF(F1339="ocorrência","VP",IF(F1339="sem ocorrência","FP",""))</f>
        <v/>
      </c>
      <c r="H1339" s="7" t="n"/>
      <c r="I1339" s="8">
        <f>IF(H1339&lt;&gt;"",H1339,G1339)</f>
        <v/>
      </c>
    </row>
    <row r="1340">
      <c r="A1340" s="9" t="n"/>
      <c r="B1340" s="9" t="n"/>
      <c r="C1340" s="9" t="n"/>
      <c r="D1340" s="9" t="n"/>
      <c r="E1340" s="9" t="n"/>
      <c r="F1340" s="8">
        <f>IF(A1340="","",IFERROR(INDEX(Testes!$N$2:$N$500,MATCH(A1340,Testes!$A$2:$A$500,0)),""))</f>
        <v/>
      </c>
      <c r="G1340" s="8">
        <f>IF(F1340="ocorrência","VP",IF(F1340="sem ocorrência","FP",""))</f>
        <v/>
      </c>
      <c r="H1340" s="7" t="n"/>
      <c r="I1340" s="8">
        <f>IF(H1340&lt;&gt;"",H1340,G1340)</f>
        <v/>
      </c>
    </row>
    <row r="1341">
      <c r="A1341" s="9" t="n"/>
      <c r="B1341" s="9" t="n"/>
      <c r="C1341" s="9" t="n"/>
      <c r="D1341" s="9" t="n"/>
      <c r="E1341" s="9" t="n"/>
      <c r="F1341" s="8">
        <f>IF(A1341="","",IFERROR(INDEX(Testes!$N$2:$N$500,MATCH(A1341,Testes!$A$2:$A$500,0)),""))</f>
        <v/>
      </c>
      <c r="G1341" s="8">
        <f>IF(F1341="ocorrência","VP",IF(F1341="sem ocorrência","FP",""))</f>
        <v/>
      </c>
      <c r="H1341" s="7" t="n"/>
      <c r="I1341" s="8">
        <f>IF(H1341&lt;&gt;"",H1341,G1341)</f>
        <v/>
      </c>
    </row>
    <row r="1342">
      <c r="A1342" s="9" t="n"/>
      <c r="B1342" s="9" t="n"/>
      <c r="C1342" s="9" t="n"/>
      <c r="D1342" s="9" t="n"/>
      <c r="E1342" s="9" t="n"/>
      <c r="F1342" s="8">
        <f>IF(A1342="","",IFERROR(INDEX(Testes!$N$2:$N$500,MATCH(A1342,Testes!$A$2:$A$500,0)),""))</f>
        <v/>
      </c>
      <c r="G1342" s="8">
        <f>IF(F1342="ocorrência","VP",IF(F1342="sem ocorrência","FP",""))</f>
        <v/>
      </c>
      <c r="H1342" s="7" t="n"/>
      <c r="I1342" s="8">
        <f>IF(H1342&lt;&gt;"",H1342,G1342)</f>
        <v/>
      </c>
    </row>
    <row r="1343">
      <c r="A1343" s="9" t="n"/>
      <c r="B1343" s="9" t="n"/>
      <c r="C1343" s="9" t="n"/>
      <c r="D1343" s="9" t="n"/>
      <c r="E1343" s="9" t="n"/>
      <c r="F1343" s="8">
        <f>IF(A1343="","",IFERROR(INDEX(Testes!$N$2:$N$500,MATCH(A1343,Testes!$A$2:$A$500,0)),""))</f>
        <v/>
      </c>
      <c r="G1343" s="8">
        <f>IF(F1343="ocorrência","VP",IF(F1343="sem ocorrência","FP",""))</f>
        <v/>
      </c>
      <c r="H1343" s="7" t="n"/>
      <c r="I1343" s="8">
        <f>IF(H1343&lt;&gt;"",H1343,G1343)</f>
        <v/>
      </c>
    </row>
    <row r="1344">
      <c r="A1344" s="9" t="n"/>
      <c r="B1344" s="9" t="n"/>
      <c r="C1344" s="9" t="n"/>
      <c r="D1344" s="9" t="n"/>
      <c r="E1344" s="9" t="n"/>
      <c r="F1344" s="8">
        <f>IF(A1344="","",IFERROR(INDEX(Testes!$N$2:$N$500,MATCH(A1344,Testes!$A$2:$A$500,0)),""))</f>
        <v/>
      </c>
      <c r="G1344" s="8">
        <f>IF(F1344="ocorrência","VP",IF(F1344="sem ocorrência","FP",""))</f>
        <v/>
      </c>
      <c r="H1344" s="7" t="n"/>
      <c r="I1344" s="8">
        <f>IF(H1344&lt;&gt;"",H1344,G1344)</f>
        <v/>
      </c>
    </row>
    <row r="1345">
      <c r="A1345" s="9" t="n"/>
      <c r="B1345" s="9" t="n"/>
      <c r="C1345" s="9" t="n"/>
      <c r="D1345" s="9" t="n"/>
      <c r="E1345" s="9" t="n"/>
      <c r="F1345" s="8">
        <f>IF(A1345="","",IFERROR(INDEX(Testes!$N$2:$N$500,MATCH(A1345,Testes!$A$2:$A$500,0)),""))</f>
        <v/>
      </c>
      <c r="G1345" s="8">
        <f>IF(F1345="ocorrência","VP",IF(F1345="sem ocorrência","FP",""))</f>
        <v/>
      </c>
      <c r="H1345" s="7" t="n"/>
      <c r="I1345" s="8">
        <f>IF(H1345&lt;&gt;"",H1345,G1345)</f>
        <v/>
      </c>
    </row>
    <row r="1346">
      <c r="A1346" s="9" t="n"/>
      <c r="B1346" s="9" t="n"/>
      <c r="C1346" s="9" t="n"/>
      <c r="D1346" s="9" t="n"/>
      <c r="E1346" s="9" t="n"/>
      <c r="F1346" s="8">
        <f>IF(A1346="","",IFERROR(INDEX(Testes!$N$2:$N$500,MATCH(A1346,Testes!$A$2:$A$500,0)),""))</f>
        <v/>
      </c>
      <c r="G1346" s="8">
        <f>IF(F1346="ocorrência","VP",IF(F1346="sem ocorrência","FP",""))</f>
        <v/>
      </c>
      <c r="H1346" s="7" t="n"/>
      <c r="I1346" s="8">
        <f>IF(H1346&lt;&gt;"",H1346,G1346)</f>
        <v/>
      </c>
    </row>
    <row r="1347">
      <c r="A1347" s="9" t="n"/>
      <c r="B1347" s="9" t="n"/>
      <c r="C1347" s="9" t="n"/>
      <c r="D1347" s="9" t="n"/>
      <c r="E1347" s="9" t="n"/>
      <c r="F1347" s="8">
        <f>IF(A1347="","",IFERROR(INDEX(Testes!$N$2:$N$500,MATCH(A1347,Testes!$A$2:$A$500,0)),""))</f>
        <v/>
      </c>
      <c r="G1347" s="8">
        <f>IF(F1347="ocorrência","VP",IF(F1347="sem ocorrência","FP",""))</f>
        <v/>
      </c>
      <c r="H1347" s="7" t="n"/>
      <c r="I1347" s="8">
        <f>IF(H1347&lt;&gt;"",H1347,G1347)</f>
        <v/>
      </c>
    </row>
    <row r="1348">
      <c r="A1348" s="9" t="n"/>
      <c r="B1348" s="9" t="n"/>
      <c r="C1348" s="9" t="n"/>
      <c r="D1348" s="9" t="n"/>
      <c r="E1348" s="9" t="n"/>
      <c r="F1348" s="8">
        <f>IF(A1348="","",IFERROR(INDEX(Testes!$N$2:$N$500,MATCH(A1348,Testes!$A$2:$A$500,0)),""))</f>
        <v/>
      </c>
      <c r="G1348" s="8">
        <f>IF(F1348="ocorrência","VP",IF(F1348="sem ocorrência","FP",""))</f>
        <v/>
      </c>
      <c r="H1348" s="7" t="n"/>
      <c r="I1348" s="8">
        <f>IF(H1348&lt;&gt;"",H1348,G1348)</f>
        <v/>
      </c>
    </row>
    <row r="1349">
      <c r="A1349" s="9" t="n"/>
      <c r="B1349" s="9" t="n"/>
      <c r="C1349" s="9" t="n"/>
      <c r="D1349" s="9" t="n"/>
      <c r="E1349" s="9" t="n"/>
      <c r="F1349" s="8">
        <f>IF(A1349="","",IFERROR(INDEX(Testes!$N$2:$N$500,MATCH(A1349,Testes!$A$2:$A$500,0)),""))</f>
        <v/>
      </c>
      <c r="G1349" s="8">
        <f>IF(F1349="ocorrência","VP",IF(F1349="sem ocorrência","FP",""))</f>
        <v/>
      </c>
      <c r="H1349" s="7" t="n"/>
      <c r="I1349" s="8">
        <f>IF(H1349&lt;&gt;"",H1349,G1349)</f>
        <v/>
      </c>
    </row>
    <row r="1350">
      <c r="A1350" s="9" t="n"/>
      <c r="B1350" s="9" t="n"/>
      <c r="C1350" s="9" t="n"/>
      <c r="D1350" s="9" t="n"/>
      <c r="E1350" s="9" t="n"/>
      <c r="F1350" s="8">
        <f>IF(A1350="","",IFERROR(INDEX(Testes!$N$2:$N$500,MATCH(A1350,Testes!$A$2:$A$500,0)),""))</f>
        <v/>
      </c>
      <c r="G1350" s="8">
        <f>IF(F1350="ocorrência","VP",IF(F1350="sem ocorrência","FP",""))</f>
        <v/>
      </c>
      <c r="H1350" s="7" t="n"/>
      <c r="I1350" s="8">
        <f>IF(H1350&lt;&gt;"",H1350,G1350)</f>
        <v/>
      </c>
    </row>
    <row r="1351">
      <c r="A1351" s="9" t="n"/>
      <c r="B1351" s="9" t="n"/>
      <c r="C1351" s="9" t="n"/>
      <c r="D1351" s="9" t="n"/>
      <c r="E1351" s="9" t="n"/>
      <c r="F1351" s="8">
        <f>IF(A1351="","",IFERROR(INDEX(Testes!$N$2:$N$500,MATCH(A1351,Testes!$A$2:$A$500,0)),""))</f>
        <v/>
      </c>
      <c r="G1351" s="8">
        <f>IF(F1351="ocorrência","VP",IF(F1351="sem ocorrência","FP",""))</f>
        <v/>
      </c>
      <c r="H1351" s="7" t="n"/>
      <c r="I1351" s="8">
        <f>IF(H1351&lt;&gt;"",H1351,G1351)</f>
        <v/>
      </c>
    </row>
    <row r="1352">
      <c r="A1352" s="9" t="n"/>
      <c r="B1352" s="9" t="n"/>
      <c r="C1352" s="9" t="n"/>
      <c r="D1352" s="9" t="n"/>
      <c r="E1352" s="9" t="n"/>
      <c r="F1352" s="8">
        <f>IF(A1352="","",IFERROR(INDEX(Testes!$N$2:$N$500,MATCH(A1352,Testes!$A$2:$A$500,0)),""))</f>
        <v/>
      </c>
      <c r="G1352" s="8">
        <f>IF(F1352="ocorrência","VP",IF(F1352="sem ocorrência","FP",""))</f>
        <v/>
      </c>
      <c r="H1352" s="7" t="n"/>
      <c r="I1352" s="8">
        <f>IF(H1352&lt;&gt;"",H1352,G1352)</f>
        <v/>
      </c>
    </row>
    <row r="1353">
      <c r="A1353" s="9" t="n"/>
      <c r="B1353" s="9" t="n"/>
      <c r="C1353" s="9" t="n"/>
      <c r="D1353" s="9" t="n"/>
      <c r="E1353" s="9" t="n"/>
      <c r="F1353" s="8">
        <f>IF(A1353="","",IFERROR(INDEX(Testes!$N$2:$N$500,MATCH(A1353,Testes!$A$2:$A$500,0)),""))</f>
        <v/>
      </c>
      <c r="G1353" s="8">
        <f>IF(F1353="ocorrência","VP",IF(F1353="sem ocorrência","FP",""))</f>
        <v/>
      </c>
      <c r="H1353" s="7" t="n"/>
      <c r="I1353" s="8">
        <f>IF(H1353&lt;&gt;"",H1353,G1353)</f>
        <v/>
      </c>
    </row>
    <row r="1354">
      <c r="A1354" s="9" t="n"/>
      <c r="B1354" s="9" t="n"/>
      <c r="C1354" s="9" t="n"/>
      <c r="D1354" s="9" t="n"/>
      <c r="E1354" s="9" t="n"/>
      <c r="F1354" s="8">
        <f>IF(A1354="","",IFERROR(INDEX(Testes!$N$2:$N$500,MATCH(A1354,Testes!$A$2:$A$500,0)),""))</f>
        <v/>
      </c>
      <c r="G1354" s="8">
        <f>IF(F1354="ocorrência","VP",IF(F1354="sem ocorrência","FP",""))</f>
        <v/>
      </c>
      <c r="H1354" s="7" t="n"/>
      <c r="I1354" s="8">
        <f>IF(H1354&lt;&gt;"",H1354,G1354)</f>
        <v/>
      </c>
    </row>
    <row r="1355">
      <c r="A1355" s="9" t="n"/>
      <c r="B1355" s="9" t="n"/>
      <c r="C1355" s="9" t="n"/>
      <c r="D1355" s="9" t="n"/>
      <c r="E1355" s="9" t="n"/>
      <c r="F1355" s="8">
        <f>IF(A1355="","",IFERROR(INDEX(Testes!$N$2:$N$500,MATCH(A1355,Testes!$A$2:$A$500,0)),""))</f>
        <v/>
      </c>
      <c r="G1355" s="8">
        <f>IF(F1355="ocorrência","VP",IF(F1355="sem ocorrência","FP",""))</f>
        <v/>
      </c>
      <c r="H1355" s="7" t="n"/>
      <c r="I1355" s="8">
        <f>IF(H1355&lt;&gt;"",H1355,G1355)</f>
        <v/>
      </c>
    </row>
    <row r="1356">
      <c r="A1356" s="9" t="n"/>
      <c r="B1356" s="9" t="n"/>
      <c r="C1356" s="9" t="n"/>
      <c r="D1356" s="9" t="n"/>
      <c r="E1356" s="9" t="n"/>
      <c r="F1356" s="8">
        <f>IF(A1356="","",IFERROR(INDEX(Testes!$N$2:$N$500,MATCH(A1356,Testes!$A$2:$A$500,0)),""))</f>
        <v/>
      </c>
      <c r="G1356" s="8">
        <f>IF(F1356="ocorrência","VP",IF(F1356="sem ocorrência","FP",""))</f>
        <v/>
      </c>
      <c r="H1356" s="7" t="n"/>
      <c r="I1356" s="8">
        <f>IF(H1356&lt;&gt;"",H1356,G1356)</f>
        <v/>
      </c>
    </row>
    <row r="1357">
      <c r="A1357" s="9" t="n"/>
      <c r="B1357" s="9" t="n"/>
      <c r="C1357" s="9" t="n"/>
      <c r="D1357" s="9" t="n"/>
      <c r="E1357" s="9" t="n"/>
      <c r="F1357" s="8">
        <f>IF(A1357="","",IFERROR(INDEX(Testes!$N$2:$N$500,MATCH(A1357,Testes!$A$2:$A$500,0)),""))</f>
        <v/>
      </c>
      <c r="G1357" s="8">
        <f>IF(F1357="ocorrência","VP",IF(F1357="sem ocorrência","FP",""))</f>
        <v/>
      </c>
      <c r="H1357" s="7" t="n"/>
      <c r="I1357" s="8">
        <f>IF(H1357&lt;&gt;"",H1357,G1357)</f>
        <v/>
      </c>
    </row>
    <row r="1358">
      <c r="A1358" s="9" t="n"/>
      <c r="B1358" s="9" t="n"/>
      <c r="C1358" s="9" t="n"/>
      <c r="D1358" s="9" t="n"/>
      <c r="E1358" s="9" t="n"/>
      <c r="F1358" s="8">
        <f>IF(A1358="","",IFERROR(INDEX(Testes!$N$2:$N$500,MATCH(A1358,Testes!$A$2:$A$500,0)),""))</f>
        <v/>
      </c>
      <c r="G1358" s="8">
        <f>IF(F1358="ocorrência","VP",IF(F1358="sem ocorrência","FP",""))</f>
        <v/>
      </c>
      <c r="H1358" s="7" t="n"/>
      <c r="I1358" s="8">
        <f>IF(H1358&lt;&gt;"",H1358,G1358)</f>
        <v/>
      </c>
    </row>
    <row r="1359">
      <c r="A1359" s="9" t="n"/>
      <c r="B1359" s="9" t="n"/>
      <c r="C1359" s="9" t="n"/>
      <c r="D1359" s="9" t="n"/>
      <c r="E1359" s="9" t="n"/>
      <c r="F1359" s="8">
        <f>IF(A1359="","",IFERROR(INDEX(Testes!$N$2:$N$500,MATCH(A1359,Testes!$A$2:$A$500,0)),""))</f>
        <v/>
      </c>
      <c r="G1359" s="8">
        <f>IF(F1359="ocorrência","VP",IF(F1359="sem ocorrência","FP",""))</f>
        <v/>
      </c>
      <c r="H1359" s="7" t="n"/>
      <c r="I1359" s="8">
        <f>IF(H1359&lt;&gt;"",H1359,G1359)</f>
        <v/>
      </c>
    </row>
    <row r="1360">
      <c r="A1360" s="9" t="n"/>
      <c r="B1360" s="9" t="n"/>
      <c r="C1360" s="9" t="n"/>
      <c r="D1360" s="9" t="n"/>
      <c r="E1360" s="9" t="n"/>
      <c r="F1360" s="8">
        <f>IF(A1360="","",IFERROR(INDEX(Testes!$N$2:$N$500,MATCH(A1360,Testes!$A$2:$A$500,0)),""))</f>
        <v/>
      </c>
      <c r="G1360" s="8">
        <f>IF(F1360="ocorrência","VP",IF(F1360="sem ocorrência","FP",""))</f>
        <v/>
      </c>
      <c r="H1360" s="7" t="n"/>
      <c r="I1360" s="8">
        <f>IF(H1360&lt;&gt;"",H1360,G1360)</f>
        <v/>
      </c>
    </row>
    <row r="1361">
      <c r="A1361" s="9" t="n"/>
      <c r="B1361" s="9" t="n"/>
      <c r="C1361" s="9" t="n"/>
      <c r="D1361" s="9" t="n"/>
      <c r="E1361" s="9" t="n"/>
      <c r="F1361" s="8">
        <f>IF(A1361="","",IFERROR(INDEX(Testes!$N$2:$N$500,MATCH(A1361,Testes!$A$2:$A$500,0)),""))</f>
        <v/>
      </c>
      <c r="G1361" s="8">
        <f>IF(F1361="ocorrência","VP",IF(F1361="sem ocorrência","FP",""))</f>
        <v/>
      </c>
      <c r="H1361" s="7" t="n"/>
      <c r="I1361" s="8">
        <f>IF(H1361&lt;&gt;"",H1361,G1361)</f>
        <v/>
      </c>
    </row>
    <row r="1362">
      <c r="A1362" s="9" t="n"/>
      <c r="B1362" s="9" t="n"/>
      <c r="C1362" s="9" t="n"/>
      <c r="D1362" s="9" t="n"/>
      <c r="E1362" s="9" t="n"/>
      <c r="F1362" s="8">
        <f>IF(A1362="","",IFERROR(INDEX(Testes!$N$2:$N$500,MATCH(A1362,Testes!$A$2:$A$500,0)),""))</f>
        <v/>
      </c>
      <c r="G1362" s="8">
        <f>IF(F1362="ocorrência","VP",IF(F1362="sem ocorrência","FP",""))</f>
        <v/>
      </c>
      <c r="H1362" s="7" t="n"/>
      <c r="I1362" s="8">
        <f>IF(H1362&lt;&gt;"",H1362,G1362)</f>
        <v/>
      </c>
    </row>
    <row r="1363">
      <c r="A1363" s="9" t="n"/>
      <c r="B1363" s="9" t="n"/>
      <c r="C1363" s="9" t="n"/>
      <c r="D1363" s="9" t="n"/>
      <c r="E1363" s="9" t="n"/>
      <c r="F1363" s="8">
        <f>IF(A1363="","",IFERROR(INDEX(Testes!$N$2:$N$500,MATCH(A1363,Testes!$A$2:$A$500,0)),""))</f>
        <v/>
      </c>
      <c r="G1363" s="8">
        <f>IF(F1363="ocorrência","VP",IF(F1363="sem ocorrência","FP",""))</f>
        <v/>
      </c>
      <c r="H1363" s="7" t="n"/>
      <c r="I1363" s="8">
        <f>IF(H1363&lt;&gt;"",H1363,G1363)</f>
        <v/>
      </c>
    </row>
    <row r="1364">
      <c r="A1364" s="9" t="n"/>
      <c r="B1364" s="9" t="n"/>
      <c r="C1364" s="9" t="n"/>
      <c r="D1364" s="9" t="n"/>
      <c r="E1364" s="9" t="n"/>
      <c r="F1364" s="8">
        <f>IF(A1364="","",IFERROR(INDEX(Testes!$N$2:$N$500,MATCH(A1364,Testes!$A$2:$A$500,0)),""))</f>
        <v/>
      </c>
      <c r="G1364" s="8">
        <f>IF(F1364="ocorrência","VP",IF(F1364="sem ocorrência","FP",""))</f>
        <v/>
      </c>
      <c r="H1364" s="7" t="n"/>
      <c r="I1364" s="8">
        <f>IF(H1364&lt;&gt;"",H1364,G1364)</f>
        <v/>
      </c>
    </row>
    <row r="1365">
      <c r="A1365" s="9" t="n"/>
      <c r="B1365" s="9" t="n"/>
      <c r="C1365" s="9" t="n"/>
      <c r="D1365" s="9" t="n"/>
      <c r="E1365" s="9" t="n"/>
      <c r="F1365" s="8">
        <f>IF(A1365="","",IFERROR(INDEX(Testes!$N$2:$N$500,MATCH(A1365,Testes!$A$2:$A$500,0)),""))</f>
        <v/>
      </c>
      <c r="G1365" s="8">
        <f>IF(F1365="ocorrência","VP",IF(F1365="sem ocorrência","FP",""))</f>
        <v/>
      </c>
      <c r="H1365" s="7" t="n"/>
      <c r="I1365" s="8">
        <f>IF(H1365&lt;&gt;"",H1365,G1365)</f>
        <v/>
      </c>
    </row>
    <row r="1366">
      <c r="A1366" s="9" t="n"/>
      <c r="B1366" s="9" t="n"/>
      <c r="C1366" s="9" t="n"/>
      <c r="D1366" s="9" t="n"/>
      <c r="E1366" s="9" t="n"/>
      <c r="F1366" s="8">
        <f>IF(A1366="","",IFERROR(INDEX(Testes!$N$2:$N$500,MATCH(A1366,Testes!$A$2:$A$500,0)),""))</f>
        <v/>
      </c>
      <c r="G1366" s="8">
        <f>IF(F1366="ocorrência","VP",IF(F1366="sem ocorrência","FP",""))</f>
        <v/>
      </c>
      <c r="H1366" s="7" t="n"/>
      <c r="I1366" s="8">
        <f>IF(H1366&lt;&gt;"",H1366,G1366)</f>
        <v/>
      </c>
    </row>
    <row r="1367">
      <c r="A1367" s="9" t="n"/>
      <c r="B1367" s="9" t="n"/>
      <c r="C1367" s="9" t="n"/>
      <c r="D1367" s="9" t="n"/>
      <c r="E1367" s="9" t="n"/>
      <c r="F1367" s="8">
        <f>IF(A1367="","",IFERROR(INDEX(Testes!$N$2:$N$500,MATCH(A1367,Testes!$A$2:$A$500,0)),""))</f>
        <v/>
      </c>
      <c r="G1367" s="8">
        <f>IF(F1367="ocorrência","VP",IF(F1367="sem ocorrência","FP",""))</f>
        <v/>
      </c>
      <c r="H1367" s="7" t="n"/>
      <c r="I1367" s="8">
        <f>IF(H1367&lt;&gt;"",H1367,G1367)</f>
        <v/>
      </c>
    </row>
    <row r="1368">
      <c r="A1368" s="9" t="n"/>
      <c r="B1368" s="9" t="n"/>
      <c r="C1368" s="9" t="n"/>
      <c r="D1368" s="9" t="n"/>
      <c r="E1368" s="9" t="n"/>
      <c r="F1368" s="8">
        <f>IF(A1368="","",IFERROR(INDEX(Testes!$N$2:$N$500,MATCH(A1368,Testes!$A$2:$A$500,0)),""))</f>
        <v/>
      </c>
      <c r="G1368" s="8">
        <f>IF(F1368="ocorrência","VP",IF(F1368="sem ocorrência","FP",""))</f>
        <v/>
      </c>
      <c r="H1368" s="7" t="n"/>
      <c r="I1368" s="8">
        <f>IF(H1368&lt;&gt;"",H1368,G1368)</f>
        <v/>
      </c>
    </row>
    <row r="1369">
      <c r="A1369" s="9" t="n"/>
      <c r="B1369" s="9" t="n"/>
      <c r="C1369" s="9" t="n"/>
      <c r="D1369" s="9" t="n"/>
      <c r="E1369" s="9" t="n"/>
      <c r="F1369" s="8">
        <f>IF(A1369="","",IFERROR(INDEX(Testes!$N$2:$N$500,MATCH(A1369,Testes!$A$2:$A$500,0)),""))</f>
        <v/>
      </c>
      <c r="G1369" s="8">
        <f>IF(F1369="ocorrência","VP",IF(F1369="sem ocorrência","FP",""))</f>
        <v/>
      </c>
      <c r="H1369" s="7" t="n"/>
      <c r="I1369" s="8">
        <f>IF(H1369&lt;&gt;"",H1369,G1369)</f>
        <v/>
      </c>
    </row>
    <row r="1370">
      <c r="A1370" s="9" t="n"/>
      <c r="B1370" s="9" t="n"/>
      <c r="C1370" s="9" t="n"/>
      <c r="D1370" s="9" t="n"/>
      <c r="E1370" s="9" t="n"/>
      <c r="F1370" s="8">
        <f>IF(A1370="","",IFERROR(INDEX(Testes!$N$2:$N$500,MATCH(A1370,Testes!$A$2:$A$500,0)),""))</f>
        <v/>
      </c>
      <c r="G1370" s="8">
        <f>IF(F1370="ocorrência","VP",IF(F1370="sem ocorrência","FP",""))</f>
        <v/>
      </c>
      <c r="H1370" s="7" t="n"/>
      <c r="I1370" s="8">
        <f>IF(H1370&lt;&gt;"",H1370,G1370)</f>
        <v/>
      </c>
    </row>
    <row r="1371">
      <c r="A1371" s="9" t="n"/>
      <c r="B1371" s="9" t="n"/>
      <c r="C1371" s="9" t="n"/>
      <c r="D1371" s="9" t="n"/>
      <c r="E1371" s="9" t="n"/>
      <c r="F1371" s="8">
        <f>IF(A1371="","",IFERROR(INDEX(Testes!$N$2:$N$500,MATCH(A1371,Testes!$A$2:$A$500,0)),""))</f>
        <v/>
      </c>
      <c r="G1371" s="8">
        <f>IF(F1371="ocorrência","VP",IF(F1371="sem ocorrência","FP",""))</f>
        <v/>
      </c>
      <c r="H1371" s="7" t="n"/>
      <c r="I1371" s="8">
        <f>IF(H1371&lt;&gt;"",H1371,G1371)</f>
        <v/>
      </c>
    </row>
    <row r="1372">
      <c r="A1372" s="9" t="n"/>
      <c r="B1372" s="9" t="n"/>
      <c r="C1372" s="9" t="n"/>
      <c r="D1372" s="9" t="n"/>
      <c r="E1372" s="9" t="n"/>
      <c r="F1372" s="8">
        <f>IF(A1372="","",IFERROR(INDEX(Testes!$N$2:$N$500,MATCH(A1372,Testes!$A$2:$A$500,0)),""))</f>
        <v/>
      </c>
      <c r="G1372" s="8">
        <f>IF(F1372="ocorrência","VP",IF(F1372="sem ocorrência","FP",""))</f>
        <v/>
      </c>
      <c r="H1372" s="7" t="n"/>
      <c r="I1372" s="8">
        <f>IF(H1372&lt;&gt;"",H1372,G1372)</f>
        <v/>
      </c>
    </row>
    <row r="1373">
      <c r="A1373" s="9" t="n"/>
      <c r="B1373" s="9" t="n"/>
      <c r="C1373" s="9" t="n"/>
      <c r="D1373" s="9" t="n"/>
      <c r="E1373" s="9" t="n"/>
      <c r="F1373" s="8">
        <f>IF(A1373="","",IFERROR(INDEX(Testes!$N$2:$N$500,MATCH(A1373,Testes!$A$2:$A$500,0)),""))</f>
        <v/>
      </c>
      <c r="G1373" s="8">
        <f>IF(F1373="ocorrência","VP",IF(F1373="sem ocorrência","FP",""))</f>
        <v/>
      </c>
      <c r="H1373" s="7" t="n"/>
      <c r="I1373" s="8">
        <f>IF(H1373&lt;&gt;"",H1373,G1373)</f>
        <v/>
      </c>
    </row>
    <row r="1374">
      <c r="A1374" s="9" t="n"/>
      <c r="B1374" s="9" t="n"/>
      <c r="C1374" s="9" t="n"/>
      <c r="D1374" s="9" t="n"/>
      <c r="E1374" s="9" t="n"/>
      <c r="F1374" s="8">
        <f>IF(A1374="","",IFERROR(INDEX(Testes!$N$2:$N$500,MATCH(A1374,Testes!$A$2:$A$500,0)),""))</f>
        <v/>
      </c>
      <c r="G1374" s="8">
        <f>IF(F1374="ocorrência","VP",IF(F1374="sem ocorrência","FP",""))</f>
        <v/>
      </c>
      <c r="H1374" s="7" t="n"/>
      <c r="I1374" s="8">
        <f>IF(H1374&lt;&gt;"",H1374,G1374)</f>
        <v/>
      </c>
    </row>
    <row r="1375">
      <c r="A1375" s="9" t="n"/>
      <c r="B1375" s="9" t="n"/>
      <c r="C1375" s="9" t="n"/>
      <c r="D1375" s="9" t="n"/>
      <c r="E1375" s="9" t="n"/>
      <c r="F1375" s="8">
        <f>IF(A1375="","",IFERROR(INDEX(Testes!$N$2:$N$500,MATCH(A1375,Testes!$A$2:$A$500,0)),""))</f>
        <v/>
      </c>
      <c r="G1375" s="8">
        <f>IF(F1375="ocorrência","VP",IF(F1375="sem ocorrência","FP",""))</f>
        <v/>
      </c>
      <c r="H1375" s="7" t="n"/>
      <c r="I1375" s="8">
        <f>IF(H1375&lt;&gt;"",H1375,G1375)</f>
        <v/>
      </c>
    </row>
    <row r="1376">
      <c r="A1376" s="9" t="n"/>
      <c r="B1376" s="9" t="n"/>
      <c r="C1376" s="9" t="n"/>
      <c r="D1376" s="9" t="n"/>
      <c r="E1376" s="9" t="n"/>
      <c r="F1376" s="8">
        <f>IF(A1376="","",IFERROR(INDEX(Testes!$N$2:$N$500,MATCH(A1376,Testes!$A$2:$A$500,0)),""))</f>
        <v/>
      </c>
      <c r="G1376" s="8">
        <f>IF(F1376="ocorrência","VP",IF(F1376="sem ocorrência","FP",""))</f>
        <v/>
      </c>
      <c r="H1376" s="7" t="n"/>
      <c r="I1376" s="8">
        <f>IF(H1376&lt;&gt;"",H1376,G1376)</f>
        <v/>
      </c>
    </row>
    <row r="1377">
      <c r="A1377" s="9" t="n"/>
      <c r="B1377" s="9" t="n"/>
      <c r="C1377" s="9" t="n"/>
      <c r="D1377" s="9" t="n"/>
      <c r="E1377" s="9" t="n"/>
      <c r="F1377" s="8">
        <f>IF(A1377="","",IFERROR(INDEX(Testes!$N$2:$N$500,MATCH(A1377,Testes!$A$2:$A$500,0)),""))</f>
        <v/>
      </c>
      <c r="G1377" s="8">
        <f>IF(F1377="ocorrência","VP",IF(F1377="sem ocorrência","FP",""))</f>
        <v/>
      </c>
      <c r="H1377" s="7" t="n"/>
      <c r="I1377" s="8">
        <f>IF(H1377&lt;&gt;"",H1377,G1377)</f>
        <v/>
      </c>
    </row>
    <row r="1378">
      <c r="A1378" s="9" t="n"/>
      <c r="B1378" s="9" t="n"/>
      <c r="C1378" s="9" t="n"/>
      <c r="D1378" s="9" t="n"/>
      <c r="E1378" s="9" t="n"/>
      <c r="F1378" s="8">
        <f>IF(A1378="","",IFERROR(INDEX(Testes!$N$2:$N$500,MATCH(A1378,Testes!$A$2:$A$500,0)),""))</f>
        <v/>
      </c>
      <c r="G1378" s="8">
        <f>IF(F1378="ocorrência","VP",IF(F1378="sem ocorrência","FP",""))</f>
        <v/>
      </c>
      <c r="H1378" s="7" t="n"/>
      <c r="I1378" s="8">
        <f>IF(H1378&lt;&gt;"",H1378,G1378)</f>
        <v/>
      </c>
    </row>
    <row r="1379">
      <c r="A1379" s="9" t="n"/>
      <c r="B1379" s="9" t="n"/>
      <c r="C1379" s="9" t="n"/>
      <c r="D1379" s="9" t="n"/>
      <c r="E1379" s="9" t="n"/>
      <c r="F1379" s="8">
        <f>IF(A1379="","",IFERROR(INDEX(Testes!$N$2:$N$500,MATCH(A1379,Testes!$A$2:$A$500,0)),""))</f>
        <v/>
      </c>
      <c r="G1379" s="8">
        <f>IF(F1379="ocorrência","VP",IF(F1379="sem ocorrência","FP",""))</f>
        <v/>
      </c>
      <c r="H1379" s="7" t="n"/>
      <c r="I1379" s="8">
        <f>IF(H1379&lt;&gt;"",H1379,G1379)</f>
        <v/>
      </c>
    </row>
    <row r="1380">
      <c r="A1380" s="9" t="n"/>
      <c r="B1380" s="9" t="n"/>
      <c r="C1380" s="9" t="n"/>
      <c r="D1380" s="9" t="n"/>
      <c r="E1380" s="9" t="n"/>
      <c r="F1380" s="8">
        <f>IF(A1380="","",IFERROR(INDEX(Testes!$N$2:$N$500,MATCH(A1380,Testes!$A$2:$A$500,0)),""))</f>
        <v/>
      </c>
      <c r="G1380" s="8">
        <f>IF(F1380="ocorrência","VP",IF(F1380="sem ocorrência","FP",""))</f>
        <v/>
      </c>
      <c r="H1380" s="7" t="n"/>
      <c r="I1380" s="8">
        <f>IF(H1380&lt;&gt;"",H1380,G1380)</f>
        <v/>
      </c>
    </row>
    <row r="1381">
      <c r="A1381" s="9" t="n"/>
      <c r="B1381" s="9" t="n"/>
      <c r="C1381" s="9" t="n"/>
      <c r="D1381" s="9" t="n"/>
      <c r="E1381" s="9" t="n"/>
      <c r="F1381" s="8">
        <f>IF(A1381="","",IFERROR(INDEX(Testes!$N$2:$N$500,MATCH(A1381,Testes!$A$2:$A$500,0)),""))</f>
        <v/>
      </c>
      <c r="G1381" s="8">
        <f>IF(F1381="ocorrência","VP",IF(F1381="sem ocorrência","FP",""))</f>
        <v/>
      </c>
      <c r="H1381" s="7" t="n"/>
      <c r="I1381" s="8">
        <f>IF(H1381&lt;&gt;"",H1381,G1381)</f>
        <v/>
      </c>
    </row>
    <row r="1382">
      <c r="A1382" s="9" t="n"/>
      <c r="B1382" s="9" t="n"/>
      <c r="C1382" s="9" t="n"/>
      <c r="D1382" s="9" t="n"/>
      <c r="E1382" s="9" t="n"/>
      <c r="F1382" s="8">
        <f>IF(A1382="","",IFERROR(INDEX(Testes!$N$2:$N$500,MATCH(A1382,Testes!$A$2:$A$500,0)),""))</f>
        <v/>
      </c>
      <c r="G1382" s="8">
        <f>IF(F1382="ocorrência","VP",IF(F1382="sem ocorrência","FP",""))</f>
        <v/>
      </c>
      <c r="H1382" s="7" t="n"/>
      <c r="I1382" s="8">
        <f>IF(H1382&lt;&gt;"",H1382,G1382)</f>
        <v/>
      </c>
    </row>
    <row r="1383">
      <c r="A1383" s="9" t="n"/>
      <c r="B1383" s="9" t="n"/>
      <c r="C1383" s="9" t="n"/>
      <c r="D1383" s="9" t="n"/>
      <c r="E1383" s="9" t="n"/>
      <c r="F1383" s="8">
        <f>IF(A1383="","",IFERROR(INDEX(Testes!$N$2:$N$500,MATCH(A1383,Testes!$A$2:$A$500,0)),""))</f>
        <v/>
      </c>
      <c r="G1383" s="8">
        <f>IF(F1383="ocorrência","VP",IF(F1383="sem ocorrência","FP",""))</f>
        <v/>
      </c>
      <c r="H1383" s="7" t="n"/>
      <c r="I1383" s="8">
        <f>IF(H1383&lt;&gt;"",H1383,G1383)</f>
        <v/>
      </c>
    </row>
    <row r="1384">
      <c r="A1384" s="9" t="n"/>
      <c r="B1384" s="9" t="n"/>
      <c r="C1384" s="9" t="n"/>
      <c r="D1384" s="9" t="n"/>
      <c r="E1384" s="9" t="n"/>
      <c r="F1384" s="8">
        <f>IF(A1384="","",IFERROR(INDEX(Testes!$N$2:$N$500,MATCH(A1384,Testes!$A$2:$A$500,0)),""))</f>
        <v/>
      </c>
      <c r="G1384" s="8">
        <f>IF(F1384="ocorrência","VP",IF(F1384="sem ocorrência","FP",""))</f>
        <v/>
      </c>
      <c r="H1384" s="7" t="n"/>
      <c r="I1384" s="8">
        <f>IF(H1384&lt;&gt;"",H1384,G1384)</f>
        <v/>
      </c>
    </row>
    <row r="1385">
      <c r="A1385" s="9" t="n"/>
      <c r="B1385" s="9" t="n"/>
      <c r="C1385" s="9" t="n"/>
      <c r="D1385" s="9" t="n"/>
      <c r="E1385" s="9" t="n"/>
      <c r="F1385" s="8">
        <f>IF(A1385="","",IFERROR(INDEX(Testes!$N$2:$N$500,MATCH(A1385,Testes!$A$2:$A$500,0)),""))</f>
        <v/>
      </c>
      <c r="G1385" s="8">
        <f>IF(F1385="ocorrência","VP",IF(F1385="sem ocorrência","FP",""))</f>
        <v/>
      </c>
      <c r="H1385" s="7" t="n"/>
      <c r="I1385" s="8">
        <f>IF(H1385&lt;&gt;"",H1385,G1385)</f>
        <v/>
      </c>
    </row>
    <row r="1386">
      <c r="A1386" s="9" t="n"/>
      <c r="B1386" s="9" t="n"/>
      <c r="C1386" s="9" t="n"/>
      <c r="D1386" s="9" t="n"/>
      <c r="E1386" s="9" t="n"/>
      <c r="F1386" s="8">
        <f>IF(A1386="","",IFERROR(INDEX(Testes!$N$2:$N$500,MATCH(A1386,Testes!$A$2:$A$500,0)),""))</f>
        <v/>
      </c>
      <c r="G1386" s="8">
        <f>IF(F1386="ocorrência","VP",IF(F1386="sem ocorrência","FP",""))</f>
        <v/>
      </c>
      <c r="H1386" s="7" t="n"/>
      <c r="I1386" s="8">
        <f>IF(H1386&lt;&gt;"",H1386,G1386)</f>
        <v/>
      </c>
    </row>
    <row r="1387">
      <c r="A1387" s="9" t="n"/>
      <c r="B1387" s="9" t="n"/>
      <c r="C1387" s="9" t="n"/>
      <c r="D1387" s="9" t="n"/>
      <c r="E1387" s="9" t="n"/>
      <c r="F1387" s="8">
        <f>IF(A1387="","",IFERROR(INDEX(Testes!$N$2:$N$500,MATCH(A1387,Testes!$A$2:$A$500,0)),""))</f>
        <v/>
      </c>
      <c r="G1387" s="8">
        <f>IF(F1387="ocorrência","VP",IF(F1387="sem ocorrência","FP",""))</f>
        <v/>
      </c>
      <c r="H1387" s="7" t="n"/>
      <c r="I1387" s="8">
        <f>IF(H1387&lt;&gt;"",H1387,G1387)</f>
        <v/>
      </c>
    </row>
    <row r="1388">
      <c r="A1388" s="9" t="n"/>
      <c r="B1388" s="9" t="n"/>
      <c r="C1388" s="9" t="n"/>
      <c r="D1388" s="9" t="n"/>
      <c r="E1388" s="9" t="n"/>
      <c r="F1388" s="8">
        <f>IF(A1388="","",IFERROR(INDEX(Testes!$N$2:$N$500,MATCH(A1388,Testes!$A$2:$A$500,0)),""))</f>
        <v/>
      </c>
      <c r="G1388" s="8">
        <f>IF(F1388="ocorrência","VP",IF(F1388="sem ocorrência","FP",""))</f>
        <v/>
      </c>
      <c r="H1388" s="7" t="n"/>
      <c r="I1388" s="8">
        <f>IF(H1388&lt;&gt;"",H1388,G1388)</f>
        <v/>
      </c>
    </row>
    <row r="1389">
      <c r="A1389" s="9" t="n"/>
      <c r="B1389" s="9" t="n"/>
      <c r="C1389" s="9" t="n"/>
      <c r="D1389" s="9" t="n"/>
      <c r="E1389" s="9" t="n"/>
      <c r="F1389" s="8">
        <f>IF(A1389="","",IFERROR(INDEX(Testes!$N$2:$N$500,MATCH(A1389,Testes!$A$2:$A$500,0)),""))</f>
        <v/>
      </c>
      <c r="G1389" s="8">
        <f>IF(F1389="ocorrência","VP",IF(F1389="sem ocorrência","FP",""))</f>
        <v/>
      </c>
      <c r="H1389" s="7" t="n"/>
      <c r="I1389" s="8">
        <f>IF(H1389&lt;&gt;"",H1389,G1389)</f>
        <v/>
      </c>
    </row>
    <row r="1390">
      <c r="A1390" s="9" t="n"/>
      <c r="B1390" s="9" t="n"/>
      <c r="C1390" s="9" t="n"/>
      <c r="D1390" s="9" t="n"/>
      <c r="E1390" s="9" t="n"/>
      <c r="F1390" s="8">
        <f>IF(A1390="","",IFERROR(INDEX(Testes!$N$2:$N$500,MATCH(A1390,Testes!$A$2:$A$500,0)),""))</f>
        <v/>
      </c>
      <c r="G1390" s="8">
        <f>IF(F1390="ocorrência","VP",IF(F1390="sem ocorrência","FP",""))</f>
        <v/>
      </c>
      <c r="H1390" s="7" t="n"/>
      <c r="I1390" s="8">
        <f>IF(H1390&lt;&gt;"",H1390,G1390)</f>
        <v/>
      </c>
    </row>
    <row r="1391">
      <c r="A1391" s="9" t="n"/>
      <c r="B1391" s="9" t="n"/>
      <c r="C1391" s="9" t="n"/>
      <c r="D1391" s="9" t="n"/>
      <c r="E1391" s="9" t="n"/>
      <c r="F1391" s="8">
        <f>IF(A1391="","",IFERROR(INDEX(Testes!$N$2:$N$500,MATCH(A1391,Testes!$A$2:$A$500,0)),""))</f>
        <v/>
      </c>
      <c r="G1391" s="8">
        <f>IF(F1391="ocorrência","VP",IF(F1391="sem ocorrência","FP",""))</f>
        <v/>
      </c>
      <c r="H1391" s="7" t="n"/>
      <c r="I1391" s="8">
        <f>IF(H1391&lt;&gt;"",H1391,G1391)</f>
        <v/>
      </c>
    </row>
    <row r="1392">
      <c r="A1392" s="9" t="n"/>
      <c r="B1392" s="9" t="n"/>
      <c r="C1392" s="9" t="n"/>
      <c r="D1392" s="9" t="n"/>
      <c r="E1392" s="9" t="n"/>
      <c r="F1392" s="8">
        <f>IF(A1392="","",IFERROR(INDEX(Testes!$N$2:$N$500,MATCH(A1392,Testes!$A$2:$A$500,0)),""))</f>
        <v/>
      </c>
      <c r="G1392" s="8">
        <f>IF(F1392="ocorrência","VP",IF(F1392="sem ocorrência","FP",""))</f>
        <v/>
      </c>
      <c r="H1392" s="7" t="n"/>
      <c r="I1392" s="8">
        <f>IF(H1392&lt;&gt;"",H1392,G1392)</f>
        <v/>
      </c>
    </row>
    <row r="1393">
      <c r="A1393" s="9" t="n"/>
      <c r="B1393" s="9" t="n"/>
      <c r="C1393" s="9" t="n"/>
      <c r="D1393" s="9" t="n"/>
      <c r="E1393" s="9" t="n"/>
      <c r="F1393" s="8">
        <f>IF(A1393="","",IFERROR(INDEX(Testes!$N$2:$N$500,MATCH(A1393,Testes!$A$2:$A$500,0)),""))</f>
        <v/>
      </c>
      <c r="G1393" s="8">
        <f>IF(F1393="ocorrência","VP",IF(F1393="sem ocorrência","FP",""))</f>
        <v/>
      </c>
      <c r="H1393" s="7" t="n"/>
      <c r="I1393" s="8">
        <f>IF(H1393&lt;&gt;"",H1393,G1393)</f>
        <v/>
      </c>
    </row>
    <row r="1394">
      <c r="A1394" s="9" t="n"/>
      <c r="B1394" s="9" t="n"/>
      <c r="C1394" s="9" t="n"/>
      <c r="D1394" s="9" t="n"/>
      <c r="E1394" s="9" t="n"/>
      <c r="F1394" s="8">
        <f>IF(A1394="","",IFERROR(INDEX(Testes!$N$2:$N$500,MATCH(A1394,Testes!$A$2:$A$500,0)),""))</f>
        <v/>
      </c>
      <c r="G1394" s="8">
        <f>IF(F1394="ocorrência","VP",IF(F1394="sem ocorrência","FP",""))</f>
        <v/>
      </c>
      <c r="H1394" s="7" t="n"/>
      <c r="I1394" s="8">
        <f>IF(H1394&lt;&gt;"",H1394,G1394)</f>
        <v/>
      </c>
    </row>
    <row r="1395">
      <c r="A1395" s="9" t="n"/>
      <c r="B1395" s="9" t="n"/>
      <c r="C1395" s="9" t="n"/>
      <c r="D1395" s="9" t="n"/>
      <c r="E1395" s="9" t="n"/>
      <c r="F1395" s="8">
        <f>IF(A1395="","",IFERROR(INDEX(Testes!$N$2:$N$500,MATCH(A1395,Testes!$A$2:$A$500,0)),""))</f>
        <v/>
      </c>
      <c r="G1395" s="8">
        <f>IF(F1395="ocorrência","VP",IF(F1395="sem ocorrência","FP",""))</f>
        <v/>
      </c>
      <c r="H1395" s="7" t="n"/>
      <c r="I1395" s="8">
        <f>IF(H1395&lt;&gt;"",H1395,G1395)</f>
        <v/>
      </c>
    </row>
    <row r="1396">
      <c r="A1396" s="9" t="n"/>
      <c r="B1396" s="9" t="n"/>
      <c r="C1396" s="9" t="n"/>
      <c r="D1396" s="9" t="n"/>
      <c r="E1396" s="9" t="n"/>
      <c r="F1396" s="8">
        <f>IF(A1396="","",IFERROR(INDEX(Testes!$N$2:$N$500,MATCH(A1396,Testes!$A$2:$A$500,0)),""))</f>
        <v/>
      </c>
      <c r="G1396" s="8">
        <f>IF(F1396="ocorrência","VP",IF(F1396="sem ocorrência","FP",""))</f>
        <v/>
      </c>
      <c r="H1396" s="7" t="n"/>
      <c r="I1396" s="8">
        <f>IF(H1396&lt;&gt;"",H1396,G1396)</f>
        <v/>
      </c>
    </row>
    <row r="1397">
      <c r="A1397" s="9" t="n"/>
      <c r="B1397" s="9" t="n"/>
      <c r="C1397" s="9" t="n"/>
      <c r="D1397" s="9" t="n"/>
      <c r="E1397" s="9" t="n"/>
      <c r="F1397" s="8">
        <f>IF(A1397="","",IFERROR(INDEX(Testes!$N$2:$N$500,MATCH(A1397,Testes!$A$2:$A$500,0)),""))</f>
        <v/>
      </c>
      <c r="G1397" s="8">
        <f>IF(F1397="ocorrência","VP",IF(F1397="sem ocorrência","FP",""))</f>
        <v/>
      </c>
      <c r="H1397" s="7" t="n"/>
      <c r="I1397" s="8">
        <f>IF(H1397&lt;&gt;"",H1397,G1397)</f>
        <v/>
      </c>
    </row>
    <row r="1398">
      <c r="A1398" s="9" t="n"/>
      <c r="B1398" s="9" t="n"/>
      <c r="C1398" s="9" t="n"/>
      <c r="D1398" s="9" t="n"/>
      <c r="E1398" s="9" t="n"/>
      <c r="F1398" s="8">
        <f>IF(A1398="","",IFERROR(INDEX(Testes!$N$2:$N$500,MATCH(A1398,Testes!$A$2:$A$500,0)),""))</f>
        <v/>
      </c>
      <c r="G1398" s="8">
        <f>IF(F1398="ocorrência","VP",IF(F1398="sem ocorrência","FP",""))</f>
        <v/>
      </c>
      <c r="H1398" s="7" t="n"/>
      <c r="I1398" s="8">
        <f>IF(H1398&lt;&gt;"",H1398,G1398)</f>
        <v/>
      </c>
    </row>
    <row r="1399">
      <c r="A1399" s="9" t="n"/>
      <c r="B1399" s="9" t="n"/>
      <c r="C1399" s="9" t="n"/>
      <c r="D1399" s="9" t="n"/>
      <c r="E1399" s="9" t="n"/>
      <c r="F1399" s="8">
        <f>IF(A1399="","",IFERROR(INDEX(Testes!$N$2:$N$500,MATCH(A1399,Testes!$A$2:$A$500,0)),""))</f>
        <v/>
      </c>
      <c r="G1399" s="8">
        <f>IF(F1399="ocorrência","VP",IF(F1399="sem ocorrência","FP",""))</f>
        <v/>
      </c>
      <c r="H1399" s="7" t="n"/>
      <c r="I1399" s="8">
        <f>IF(H1399&lt;&gt;"",H1399,G1399)</f>
        <v/>
      </c>
    </row>
    <row r="1400">
      <c r="A1400" s="9" t="n"/>
      <c r="B1400" s="9" t="n"/>
      <c r="C1400" s="9" t="n"/>
      <c r="D1400" s="9" t="n"/>
      <c r="E1400" s="9" t="n"/>
      <c r="F1400" s="8">
        <f>IF(A1400="","",IFERROR(INDEX(Testes!$N$2:$N$500,MATCH(A1400,Testes!$A$2:$A$500,0)),""))</f>
        <v/>
      </c>
      <c r="G1400" s="8">
        <f>IF(F1400="ocorrência","VP",IF(F1400="sem ocorrência","FP",""))</f>
        <v/>
      </c>
      <c r="H1400" s="7" t="n"/>
      <c r="I1400" s="8">
        <f>IF(H1400&lt;&gt;"",H1400,G1400)</f>
        <v/>
      </c>
    </row>
    <row r="1401">
      <c r="A1401" s="9" t="n"/>
      <c r="B1401" s="9" t="n"/>
      <c r="C1401" s="9" t="n"/>
      <c r="D1401" s="9" t="n"/>
      <c r="E1401" s="9" t="n"/>
      <c r="F1401" s="8">
        <f>IF(A1401="","",IFERROR(INDEX(Testes!$N$2:$N$500,MATCH(A1401,Testes!$A$2:$A$500,0)),""))</f>
        <v/>
      </c>
      <c r="G1401" s="8">
        <f>IF(F1401="ocorrência","VP",IF(F1401="sem ocorrência","FP",""))</f>
        <v/>
      </c>
      <c r="H1401" s="7" t="n"/>
      <c r="I1401" s="8">
        <f>IF(H1401&lt;&gt;"",H1401,G1401)</f>
        <v/>
      </c>
    </row>
    <row r="1402">
      <c r="A1402" s="9" t="n"/>
      <c r="B1402" s="9" t="n"/>
      <c r="C1402" s="9" t="n"/>
      <c r="D1402" s="9" t="n"/>
      <c r="E1402" s="9" t="n"/>
      <c r="F1402" s="8">
        <f>IF(A1402="","",IFERROR(INDEX(Testes!$N$2:$N$500,MATCH(A1402,Testes!$A$2:$A$500,0)),""))</f>
        <v/>
      </c>
      <c r="G1402" s="8">
        <f>IF(F1402="ocorrência","VP",IF(F1402="sem ocorrência","FP",""))</f>
        <v/>
      </c>
      <c r="H1402" s="7" t="n"/>
      <c r="I1402" s="8">
        <f>IF(H1402&lt;&gt;"",H1402,G1402)</f>
        <v/>
      </c>
    </row>
    <row r="1403">
      <c r="A1403" s="9" t="n"/>
      <c r="B1403" s="9" t="n"/>
      <c r="C1403" s="9" t="n"/>
      <c r="D1403" s="9" t="n"/>
      <c r="E1403" s="9" t="n"/>
      <c r="F1403" s="8">
        <f>IF(A1403="","",IFERROR(INDEX(Testes!$N$2:$N$500,MATCH(A1403,Testes!$A$2:$A$500,0)),""))</f>
        <v/>
      </c>
      <c r="G1403" s="8">
        <f>IF(F1403="ocorrência","VP",IF(F1403="sem ocorrência","FP",""))</f>
        <v/>
      </c>
      <c r="H1403" s="7" t="n"/>
      <c r="I1403" s="8">
        <f>IF(H1403&lt;&gt;"",H1403,G1403)</f>
        <v/>
      </c>
    </row>
    <row r="1404">
      <c r="A1404" s="9" t="n"/>
      <c r="B1404" s="9" t="n"/>
      <c r="C1404" s="9" t="n"/>
      <c r="D1404" s="9" t="n"/>
      <c r="E1404" s="9" t="n"/>
      <c r="F1404" s="8">
        <f>IF(A1404="","",IFERROR(INDEX(Testes!$N$2:$N$500,MATCH(A1404,Testes!$A$2:$A$500,0)),""))</f>
        <v/>
      </c>
      <c r="G1404" s="8">
        <f>IF(F1404="ocorrência","VP",IF(F1404="sem ocorrência","FP",""))</f>
        <v/>
      </c>
      <c r="H1404" s="7" t="n"/>
      <c r="I1404" s="8">
        <f>IF(H1404&lt;&gt;"",H1404,G1404)</f>
        <v/>
      </c>
    </row>
    <row r="1405">
      <c r="A1405" s="9" t="n"/>
      <c r="B1405" s="9" t="n"/>
      <c r="C1405" s="9" t="n"/>
      <c r="D1405" s="9" t="n"/>
      <c r="E1405" s="9" t="n"/>
      <c r="F1405" s="8">
        <f>IF(A1405="","",IFERROR(INDEX(Testes!$N$2:$N$500,MATCH(A1405,Testes!$A$2:$A$500,0)),""))</f>
        <v/>
      </c>
      <c r="G1405" s="8">
        <f>IF(F1405="ocorrência","VP",IF(F1405="sem ocorrência","FP",""))</f>
        <v/>
      </c>
      <c r="H1405" s="7" t="n"/>
      <c r="I1405" s="8">
        <f>IF(H1405&lt;&gt;"",H1405,G1405)</f>
        <v/>
      </c>
    </row>
    <row r="1406">
      <c r="A1406" s="9" t="n"/>
      <c r="B1406" s="9" t="n"/>
      <c r="C1406" s="9" t="n"/>
      <c r="D1406" s="9" t="n"/>
      <c r="E1406" s="9" t="n"/>
      <c r="F1406" s="8">
        <f>IF(A1406="","",IFERROR(INDEX(Testes!$N$2:$N$500,MATCH(A1406,Testes!$A$2:$A$500,0)),""))</f>
        <v/>
      </c>
      <c r="G1406" s="8">
        <f>IF(F1406="ocorrência","VP",IF(F1406="sem ocorrência","FP",""))</f>
        <v/>
      </c>
      <c r="H1406" s="7" t="n"/>
      <c r="I1406" s="8">
        <f>IF(H1406&lt;&gt;"",H1406,G1406)</f>
        <v/>
      </c>
    </row>
    <row r="1407">
      <c r="A1407" s="9" t="n"/>
      <c r="B1407" s="9" t="n"/>
      <c r="C1407" s="9" t="n"/>
      <c r="D1407" s="9" t="n"/>
      <c r="E1407" s="9" t="n"/>
      <c r="F1407" s="8">
        <f>IF(A1407="","",IFERROR(INDEX(Testes!$N$2:$N$500,MATCH(A1407,Testes!$A$2:$A$500,0)),""))</f>
        <v/>
      </c>
      <c r="G1407" s="8">
        <f>IF(F1407="ocorrência","VP",IF(F1407="sem ocorrência","FP",""))</f>
        <v/>
      </c>
      <c r="H1407" s="7" t="n"/>
      <c r="I1407" s="8">
        <f>IF(H1407&lt;&gt;"",H1407,G1407)</f>
        <v/>
      </c>
    </row>
    <row r="1408">
      <c r="A1408" s="9" t="n"/>
      <c r="B1408" s="9" t="n"/>
      <c r="C1408" s="9" t="n"/>
      <c r="D1408" s="9" t="n"/>
      <c r="E1408" s="9" t="n"/>
      <c r="F1408" s="8">
        <f>IF(A1408="","",IFERROR(INDEX(Testes!$N$2:$N$500,MATCH(A1408,Testes!$A$2:$A$500,0)),""))</f>
        <v/>
      </c>
      <c r="G1408" s="8">
        <f>IF(F1408="ocorrência","VP",IF(F1408="sem ocorrência","FP",""))</f>
        <v/>
      </c>
      <c r="H1408" s="7" t="n"/>
      <c r="I1408" s="8">
        <f>IF(H1408&lt;&gt;"",H1408,G1408)</f>
        <v/>
      </c>
    </row>
    <row r="1409">
      <c r="A1409" s="9" t="n"/>
      <c r="B1409" s="9" t="n"/>
      <c r="C1409" s="9" t="n"/>
      <c r="D1409" s="9" t="n"/>
      <c r="E1409" s="9" t="n"/>
      <c r="F1409" s="8">
        <f>IF(A1409="","",IFERROR(INDEX(Testes!$N$2:$N$500,MATCH(A1409,Testes!$A$2:$A$500,0)),""))</f>
        <v/>
      </c>
      <c r="G1409" s="8">
        <f>IF(F1409="ocorrência","VP",IF(F1409="sem ocorrência","FP",""))</f>
        <v/>
      </c>
      <c r="H1409" s="7" t="n"/>
      <c r="I1409" s="8">
        <f>IF(H1409&lt;&gt;"",H1409,G1409)</f>
        <v/>
      </c>
    </row>
    <row r="1410">
      <c r="A1410" s="9" t="n"/>
      <c r="B1410" s="9" t="n"/>
      <c r="C1410" s="9" t="n"/>
      <c r="D1410" s="9" t="n"/>
      <c r="E1410" s="9" t="n"/>
      <c r="F1410" s="8">
        <f>IF(A1410="","",IFERROR(INDEX(Testes!$N$2:$N$500,MATCH(A1410,Testes!$A$2:$A$500,0)),""))</f>
        <v/>
      </c>
      <c r="G1410" s="8">
        <f>IF(F1410="ocorrência","VP",IF(F1410="sem ocorrência","FP",""))</f>
        <v/>
      </c>
      <c r="H1410" s="7" t="n"/>
      <c r="I1410" s="8">
        <f>IF(H1410&lt;&gt;"",H1410,G1410)</f>
        <v/>
      </c>
    </row>
    <row r="1411">
      <c r="A1411" s="9" t="n"/>
      <c r="B1411" s="9" t="n"/>
      <c r="C1411" s="9" t="n"/>
      <c r="D1411" s="9" t="n"/>
      <c r="E1411" s="9" t="n"/>
      <c r="F1411" s="8">
        <f>IF(A1411="","",IFERROR(INDEX(Testes!$N$2:$N$500,MATCH(A1411,Testes!$A$2:$A$500,0)),""))</f>
        <v/>
      </c>
      <c r="G1411" s="8">
        <f>IF(F1411="ocorrência","VP",IF(F1411="sem ocorrência","FP",""))</f>
        <v/>
      </c>
      <c r="H1411" s="7" t="n"/>
      <c r="I1411" s="8">
        <f>IF(H1411&lt;&gt;"",H1411,G1411)</f>
        <v/>
      </c>
    </row>
    <row r="1412">
      <c r="A1412" s="9" t="n"/>
      <c r="B1412" s="9" t="n"/>
      <c r="C1412" s="9" t="n"/>
      <c r="D1412" s="9" t="n"/>
      <c r="E1412" s="9" t="n"/>
      <c r="F1412" s="8">
        <f>IF(A1412="","",IFERROR(INDEX(Testes!$N$2:$N$500,MATCH(A1412,Testes!$A$2:$A$500,0)),""))</f>
        <v/>
      </c>
      <c r="G1412" s="8">
        <f>IF(F1412="ocorrência","VP",IF(F1412="sem ocorrência","FP",""))</f>
        <v/>
      </c>
      <c r="H1412" s="7" t="n"/>
      <c r="I1412" s="8">
        <f>IF(H1412&lt;&gt;"",H1412,G1412)</f>
        <v/>
      </c>
    </row>
    <row r="1413">
      <c r="A1413" s="9" t="n"/>
      <c r="B1413" s="9" t="n"/>
      <c r="C1413" s="9" t="n"/>
      <c r="D1413" s="9" t="n"/>
      <c r="E1413" s="9" t="n"/>
      <c r="F1413" s="8">
        <f>IF(A1413="","",IFERROR(INDEX(Testes!$N$2:$N$500,MATCH(A1413,Testes!$A$2:$A$500,0)),""))</f>
        <v/>
      </c>
      <c r="G1413" s="8">
        <f>IF(F1413="ocorrência","VP",IF(F1413="sem ocorrência","FP",""))</f>
        <v/>
      </c>
      <c r="H1413" s="7" t="n"/>
      <c r="I1413" s="8">
        <f>IF(H1413&lt;&gt;"",H1413,G1413)</f>
        <v/>
      </c>
    </row>
    <row r="1414">
      <c r="A1414" s="9" t="n"/>
      <c r="B1414" s="9" t="n"/>
      <c r="C1414" s="9" t="n"/>
      <c r="D1414" s="9" t="n"/>
      <c r="E1414" s="9" t="n"/>
      <c r="F1414" s="8">
        <f>IF(A1414="","",IFERROR(INDEX(Testes!$N$2:$N$500,MATCH(A1414,Testes!$A$2:$A$500,0)),""))</f>
        <v/>
      </c>
      <c r="G1414" s="8">
        <f>IF(F1414="ocorrência","VP",IF(F1414="sem ocorrência","FP",""))</f>
        <v/>
      </c>
      <c r="H1414" s="7" t="n"/>
      <c r="I1414" s="8">
        <f>IF(H1414&lt;&gt;"",H1414,G1414)</f>
        <v/>
      </c>
    </row>
    <row r="1415">
      <c r="A1415" s="9" t="n"/>
      <c r="B1415" s="9" t="n"/>
      <c r="C1415" s="9" t="n"/>
      <c r="D1415" s="9" t="n"/>
      <c r="E1415" s="9" t="n"/>
      <c r="F1415" s="8">
        <f>IF(A1415="","",IFERROR(INDEX(Testes!$N$2:$N$500,MATCH(A1415,Testes!$A$2:$A$500,0)),""))</f>
        <v/>
      </c>
      <c r="G1415" s="8">
        <f>IF(F1415="ocorrência","VP",IF(F1415="sem ocorrência","FP",""))</f>
        <v/>
      </c>
      <c r="H1415" s="7" t="n"/>
      <c r="I1415" s="8">
        <f>IF(H1415&lt;&gt;"",H1415,G1415)</f>
        <v/>
      </c>
    </row>
    <row r="1416">
      <c r="A1416" s="9" t="n"/>
      <c r="B1416" s="9" t="n"/>
      <c r="C1416" s="9" t="n"/>
      <c r="D1416" s="9" t="n"/>
      <c r="E1416" s="9" t="n"/>
      <c r="F1416" s="8">
        <f>IF(A1416="","",IFERROR(INDEX(Testes!$N$2:$N$500,MATCH(A1416,Testes!$A$2:$A$500,0)),""))</f>
        <v/>
      </c>
      <c r="G1416" s="8">
        <f>IF(F1416="ocorrência","VP",IF(F1416="sem ocorrência","FP",""))</f>
        <v/>
      </c>
      <c r="H1416" s="7" t="n"/>
      <c r="I1416" s="8">
        <f>IF(H1416&lt;&gt;"",H1416,G1416)</f>
        <v/>
      </c>
    </row>
    <row r="1417">
      <c r="A1417" s="9" t="n"/>
      <c r="B1417" s="9" t="n"/>
      <c r="C1417" s="9" t="n"/>
      <c r="D1417" s="9" t="n"/>
      <c r="E1417" s="9" t="n"/>
      <c r="F1417" s="8">
        <f>IF(A1417="","",IFERROR(INDEX(Testes!$N$2:$N$500,MATCH(A1417,Testes!$A$2:$A$500,0)),""))</f>
        <v/>
      </c>
      <c r="G1417" s="8">
        <f>IF(F1417="ocorrência","VP",IF(F1417="sem ocorrência","FP",""))</f>
        <v/>
      </c>
      <c r="H1417" s="7" t="n"/>
      <c r="I1417" s="8">
        <f>IF(H1417&lt;&gt;"",H1417,G1417)</f>
        <v/>
      </c>
    </row>
    <row r="1418">
      <c r="A1418" s="9" t="n"/>
      <c r="B1418" s="9" t="n"/>
      <c r="C1418" s="9" t="n"/>
      <c r="D1418" s="9" t="n"/>
      <c r="E1418" s="9" t="n"/>
      <c r="F1418" s="8">
        <f>IF(A1418="","",IFERROR(INDEX(Testes!$N$2:$N$500,MATCH(A1418,Testes!$A$2:$A$500,0)),""))</f>
        <v/>
      </c>
      <c r="G1418" s="8">
        <f>IF(F1418="ocorrência","VP",IF(F1418="sem ocorrência","FP",""))</f>
        <v/>
      </c>
      <c r="H1418" s="7" t="n"/>
      <c r="I1418" s="8">
        <f>IF(H1418&lt;&gt;"",H1418,G1418)</f>
        <v/>
      </c>
    </row>
    <row r="1419">
      <c r="A1419" s="9" t="n"/>
      <c r="B1419" s="9" t="n"/>
      <c r="C1419" s="9" t="n"/>
      <c r="D1419" s="9" t="n"/>
      <c r="E1419" s="9" t="n"/>
      <c r="F1419" s="8">
        <f>IF(A1419="","",IFERROR(INDEX(Testes!$N$2:$N$500,MATCH(A1419,Testes!$A$2:$A$500,0)),""))</f>
        <v/>
      </c>
      <c r="G1419" s="8">
        <f>IF(F1419="ocorrência","VP",IF(F1419="sem ocorrência","FP",""))</f>
        <v/>
      </c>
      <c r="H1419" s="7" t="n"/>
      <c r="I1419" s="8">
        <f>IF(H1419&lt;&gt;"",H1419,G1419)</f>
        <v/>
      </c>
    </row>
    <row r="1420">
      <c r="A1420" s="9" t="n"/>
      <c r="B1420" s="9" t="n"/>
      <c r="C1420" s="9" t="n"/>
      <c r="D1420" s="9" t="n"/>
      <c r="E1420" s="9" t="n"/>
      <c r="F1420" s="8">
        <f>IF(A1420="","",IFERROR(INDEX(Testes!$N$2:$N$500,MATCH(A1420,Testes!$A$2:$A$500,0)),""))</f>
        <v/>
      </c>
      <c r="G1420" s="8">
        <f>IF(F1420="ocorrência","VP",IF(F1420="sem ocorrência","FP",""))</f>
        <v/>
      </c>
      <c r="H1420" s="7" t="n"/>
      <c r="I1420" s="8">
        <f>IF(H1420&lt;&gt;"",H1420,G1420)</f>
        <v/>
      </c>
    </row>
    <row r="1421">
      <c r="A1421" s="9" t="n"/>
      <c r="B1421" s="9" t="n"/>
      <c r="C1421" s="9" t="n"/>
      <c r="D1421" s="9" t="n"/>
      <c r="E1421" s="9" t="n"/>
      <c r="F1421" s="8">
        <f>IF(A1421="","",IFERROR(INDEX(Testes!$N$2:$N$500,MATCH(A1421,Testes!$A$2:$A$500,0)),""))</f>
        <v/>
      </c>
      <c r="G1421" s="8">
        <f>IF(F1421="ocorrência","VP",IF(F1421="sem ocorrência","FP",""))</f>
        <v/>
      </c>
      <c r="H1421" s="7" t="n"/>
      <c r="I1421" s="8">
        <f>IF(H1421&lt;&gt;"",H1421,G1421)</f>
        <v/>
      </c>
    </row>
    <row r="1422">
      <c r="A1422" s="9" t="n"/>
      <c r="B1422" s="9" t="n"/>
      <c r="C1422" s="9" t="n"/>
      <c r="D1422" s="9" t="n"/>
      <c r="E1422" s="9" t="n"/>
      <c r="F1422" s="8">
        <f>IF(A1422="","",IFERROR(INDEX(Testes!$N$2:$N$500,MATCH(A1422,Testes!$A$2:$A$500,0)),""))</f>
        <v/>
      </c>
      <c r="G1422" s="8">
        <f>IF(F1422="ocorrência","VP",IF(F1422="sem ocorrência","FP",""))</f>
        <v/>
      </c>
      <c r="H1422" s="7" t="n"/>
      <c r="I1422" s="8">
        <f>IF(H1422&lt;&gt;"",H1422,G1422)</f>
        <v/>
      </c>
    </row>
    <row r="1423">
      <c r="A1423" s="9" t="n"/>
      <c r="B1423" s="9" t="n"/>
      <c r="C1423" s="9" t="n"/>
      <c r="D1423" s="9" t="n"/>
      <c r="E1423" s="9" t="n"/>
      <c r="F1423" s="8">
        <f>IF(A1423="","",IFERROR(INDEX(Testes!$N$2:$N$500,MATCH(A1423,Testes!$A$2:$A$500,0)),""))</f>
        <v/>
      </c>
      <c r="G1423" s="8">
        <f>IF(F1423="ocorrência","VP",IF(F1423="sem ocorrência","FP",""))</f>
        <v/>
      </c>
      <c r="H1423" s="7" t="n"/>
      <c r="I1423" s="8">
        <f>IF(H1423&lt;&gt;"",H1423,G1423)</f>
        <v/>
      </c>
    </row>
    <row r="1424">
      <c r="A1424" s="9" t="n"/>
      <c r="B1424" s="9" t="n"/>
      <c r="C1424" s="9" t="n"/>
      <c r="D1424" s="9" t="n"/>
      <c r="E1424" s="9" t="n"/>
      <c r="F1424" s="8">
        <f>IF(A1424="","",IFERROR(INDEX(Testes!$N$2:$N$500,MATCH(A1424,Testes!$A$2:$A$500,0)),""))</f>
        <v/>
      </c>
      <c r="G1424" s="8">
        <f>IF(F1424="ocorrência","VP",IF(F1424="sem ocorrência","FP",""))</f>
        <v/>
      </c>
      <c r="H1424" s="7" t="n"/>
      <c r="I1424" s="8">
        <f>IF(H1424&lt;&gt;"",H1424,G1424)</f>
        <v/>
      </c>
    </row>
    <row r="1425">
      <c r="A1425" s="9" t="n"/>
      <c r="B1425" s="9" t="n"/>
      <c r="C1425" s="9" t="n"/>
      <c r="D1425" s="9" t="n"/>
      <c r="E1425" s="9" t="n"/>
      <c r="F1425" s="8">
        <f>IF(A1425="","",IFERROR(INDEX(Testes!$N$2:$N$500,MATCH(A1425,Testes!$A$2:$A$500,0)),""))</f>
        <v/>
      </c>
      <c r="G1425" s="8">
        <f>IF(F1425="ocorrência","VP",IF(F1425="sem ocorrência","FP",""))</f>
        <v/>
      </c>
      <c r="H1425" s="7" t="n"/>
      <c r="I1425" s="8">
        <f>IF(H1425&lt;&gt;"",H1425,G1425)</f>
        <v/>
      </c>
    </row>
    <row r="1426">
      <c r="A1426" s="9" t="n"/>
      <c r="B1426" s="9" t="n"/>
      <c r="C1426" s="9" t="n"/>
      <c r="D1426" s="9" t="n"/>
      <c r="E1426" s="9" t="n"/>
      <c r="F1426" s="8">
        <f>IF(A1426="","",IFERROR(INDEX(Testes!$N$2:$N$500,MATCH(A1426,Testes!$A$2:$A$500,0)),""))</f>
        <v/>
      </c>
      <c r="G1426" s="8">
        <f>IF(F1426="ocorrência","VP",IF(F1426="sem ocorrência","FP",""))</f>
        <v/>
      </c>
      <c r="H1426" s="7" t="n"/>
      <c r="I1426" s="8">
        <f>IF(H1426&lt;&gt;"",H1426,G1426)</f>
        <v/>
      </c>
    </row>
    <row r="1427">
      <c r="A1427" s="9" t="n"/>
      <c r="B1427" s="9" t="n"/>
      <c r="C1427" s="9" t="n"/>
      <c r="D1427" s="9" t="n"/>
      <c r="E1427" s="9" t="n"/>
      <c r="F1427" s="8">
        <f>IF(A1427="","",IFERROR(INDEX(Testes!$N$2:$N$500,MATCH(A1427,Testes!$A$2:$A$500,0)),""))</f>
        <v/>
      </c>
      <c r="G1427" s="8">
        <f>IF(F1427="ocorrência","VP",IF(F1427="sem ocorrência","FP",""))</f>
        <v/>
      </c>
      <c r="H1427" s="7" t="n"/>
      <c r="I1427" s="8">
        <f>IF(H1427&lt;&gt;"",H1427,G1427)</f>
        <v/>
      </c>
    </row>
    <row r="1428">
      <c r="A1428" s="9" t="n"/>
      <c r="B1428" s="9" t="n"/>
      <c r="C1428" s="9" t="n"/>
      <c r="D1428" s="9" t="n"/>
      <c r="E1428" s="9" t="n"/>
      <c r="F1428" s="8">
        <f>IF(A1428="","",IFERROR(INDEX(Testes!$N$2:$N$500,MATCH(A1428,Testes!$A$2:$A$500,0)),""))</f>
        <v/>
      </c>
      <c r="G1428" s="8">
        <f>IF(F1428="ocorrência","VP",IF(F1428="sem ocorrência","FP",""))</f>
        <v/>
      </c>
      <c r="H1428" s="7" t="n"/>
      <c r="I1428" s="8">
        <f>IF(H1428&lt;&gt;"",H1428,G1428)</f>
        <v/>
      </c>
    </row>
    <row r="1429">
      <c r="A1429" s="9" t="n"/>
      <c r="B1429" s="9" t="n"/>
      <c r="C1429" s="9" t="n"/>
      <c r="D1429" s="9" t="n"/>
      <c r="E1429" s="9" t="n"/>
      <c r="F1429" s="8">
        <f>IF(A1429="","",IFERROR(INDEX(Testes!$N$2:$N$500,MATCH(A1429,Testes!$A$2:$A$500,0)),""))</f>
        <v/>
      </c>
      <c r="G1429" s="8">
        <f>IF(F1429="ocorrência","VP",IF(F1429="sem ocorrência","FP",""))</f>
        <v/>
      </c>
      <c r="H1429" s="7" t="n"/>
      <c r="I1429" s="8">
        <f>IF(H1429&lt;&gt;"",H1429,G1429)</f>
        <v/>
      </c>
    </row>
    <row r="1430">
      <c r="A1430" s="9" t="n"/>
      <c r="B1430" s="9" t="n"/>
      <c r="C1430" s="9" t="n"/>
      <c r="D1430" s="9" t="n"/>
      <c r="E1430" s="9" t="n"/>
      <c r="F1430" s="8">
        <f>IF(A1430="","",IFERROR(INDEX(Testes!$N$2:$N$500,MATCH(A1430,Testes!$A$2:$A$500,0)),""))</f>
        <v/>
      </c>
      <c r="G1430" s="8">
        <f>IF(F1430="ocorrência","VP",IF(F1430="sem ocorrência","FP",""))</f>
        <v/>
      </c>
      <c r="H1430" s="7" t="n"/>
      <c r="I1430" s="8">
        <f>IF(H1430&lt;&gt;"",H1430,G1430)</f>
        <v/>
      </c>
    </row>
    <row r="1431">
      <c r="A1431" s="9" t="n"/>
      <c r="B1431" s="9" t="n"/>
      <c r="C1431" s="9" t="n"/>
      <c r="D1431" s="9" t="n"/>
      <c r="E1431" s="9" t="n"/>
      <c r="F1431" s="8">
        <f>IF(A1431="","",IFERROR(INDEX(Testes!$N$2:$N$500,MATCH(A1431,Testes!$A$2:$A$500,0)),""))</f>
        <v/>
      </c>
      <c r="G1431" s="8">
        <f>IF(F1431="ocorrência","VP",IF(F1431="sem ocorrência","FP",""))</f>
        <v/>
      </c>
      <c r="H1431" s="7" t="n"/>
      <c r="I1431" s="8">
        <f>IF(H1431&lt;&gt;"",H1431,G1431)</f>
        <v/>
      </c>
    </row>
    <row r="1432">
      <c r="A1432" s="9" t="n"/>
      <c r="B1432" s="9" t="n"/>
      <c r="C1432" s="9" t="n"/>
      <c r="D1432" s="9" t="n"/>
      <c r="E1432" s="9" t="n"/>
      <c r="F1432" s="8">
        <f>IF(A1432="","",IFERROR(INDEX(Testes!$N$2:$N$500,MATCH(A1432,Testes!$A$2:$A$500,0)),""))</f>
        <v/>
      </c>
      <c r="G1432" s="8">
        <f>IF(F1432="ocorrência","VP",IF(F1432="sem ocorrência","FP",""))</f>
        <v/>
      </c>
      <c r="H1432" s="7" t="n"/>
      <c r="I1432" s="8">
        <f>IF(H1432&lt;&gt;"",H1432,G1432)</f>
        <v/>
      </c>
    </row>
    <row r="1433">
      <c r="A1433" s="9" t="n"/>
      <c r="B1433" s="9" t="n"/>
      <c r="C1433" s="9" t="n"/>
      <c r="D1433" s="9" t="n"/>
      <c r="E1433" s="9" t="n"/>
      <c r="F1433" s="8">
        <f>IF(A1433="","",IFERROR(INDEX(Testes!$N$2:$N$500,MATCH(A1433,Testes!$A$2:$A$500,0)),""))</f>
        <v/>
      </c>
      <c r="G1433" s="8">
        <f>IF(F1433="ocorrência","VP",IF(F1433="sem ocorrência","FP",""))</f>
        <v/>
      </c>
      <c r="H1433" s="7" t="n"/>
      <c r="I1433" s="8">
        <f>IF(H1433&lt;&gt;"",H1433,G1433)</f>
        <v/>
      </c>
    </row>
    <row r="1434">
      <c r="A1434" s="9" t="n"/>
      <c r="B1434" s="9" t="n"/>
      <c r="C1434" s="9" t="n"/>
      <c r="D1434" s="9" t="n"/>
      <c r="E1434" s="9" t="n"/>
      <c r="F1434" s="8">
        <f>IF(A1434="","",IFERROR(INDEX(Testes!$N$2:$N$500,MATCH(A1434,Testes!$A$2:$A$500,0)),""))</f>
        <v/>
      </c>
      <c r="G1434" s="8">
        <f>IF(F1434="ocorrência","VP",IF(F1434="sem ocorrência","FP",""))</f>
        <v/>
      </c>
      <c r="H1434" s="7" t="n"/>
      <c r="I1434" s="8">
        <f>IF(H1434&lt;&gt;"",H1434,G1434)</f>
        <v/>
      </c>
    </row>
    <row r="1435">
      <c r="A1435" s="9" t="n"/>
      <c r="B1435" s="9" t="n"/>
      <c r="C1435" s="9" t="n"/>
      <c r="D1435" s="9" t="n"/>
      <c r="E1435" s="9" t="n"/>
      <c r="F1435" s="8">
        <f>IF(A1435="","",IFERROR(INDEX(Testes!$N$2:$N$500,MATCH(A1435,Testes!$A$2:$A$500,0)),""))</f>
        <v/>
      </c>
      <c r="G1435" s="8">
        <f>IF(F1435="ocorrência","VP",IF(F1435="sem ocorrência","FP",""))</f>
        <v/>
      </c>
      <c r="H1435" s="7" t="n"/>
      <c r="I1435" s="8">
        <f>IF(H1435&lt;&gt;"",H1435,G1435)</f>
        <v/>
      </c>
    </row>
    <row r="1436">
      <c r="A1436" s="9" t="n"/>
      <c r="B1436" s="9" t="n"/>
      <c r="C1436" s="9" t="n"/>
      <c r="D1436" s="9" t="n"/>
      <c r="E1436" s="9" t="n"/>
      <c r="F1436" s="8">
        <f>IF(A1436="","",IFERROR(INDEX(Testes!$N$2:$N$500,MATCH(A1436,Testes!$A$2:$A$500,0)),""))</f>
        <v/>
      </c>
      <c r="G1436" s="8">
        <f>IF(F1436="ocorrência","VP",IF(F1436="sem ocorrência","FP",""))</f>
        <v/>
      </c>
      <c r="H1436" s="7" t="n"/>
      <c r="I1436" s="8">
        <f>IF(H1436&lt;&gt;"",H1436,G1436)</f>
        <v/>
      </c>
    </row>
    <row r="1437">
      <c r="A1437" s="9" t="n"/>
      <c r="B1437" s="9" t="n"/>
      <c r="C1437" s="9" t="n"/>
      <c r="D1437" s="9" t="n"/>
      <c r="E1437" s="9" t="n"/>
      <c r="F1437" s="8">
        <f>IF(A1437="","",IFERROR(INDEX(Testes!$N$2:$N$500,MATCH(A1437,Testes!$A$2:$A$500,0)),""))</f>
        <v/>
      </c>
      <c r="G1437" s="8">
        <f>IF(F1437="ocorrência","VP",IF(F1437="sem ocorrência","FP",""))</f>
        <v/>
      </c>
      <c r="H1437" s="7" t="n"/>
      <c r="I1437" s="8">
        <f>IF(H1437&lt;&gt;"",H1437,G1437)</f>
        <v/>
      </c>
    </row>
    <row r="1438">
      <c r="A1438" s="9" t="n"/>
      <c r="B1438" s="9" t="n"/>
      <c r="C1438" s="9" t="n"/>
      <c r="D1438" s="9" t="n"/>
      <c r="E1438" s="9" t="n"/>
      <c r="F1438" s="8">
        <f>IF(A1438="","",IFERROR(INDEX(Testes!$N$2:$N$500,MATCH(A1438,Testes!$A$2:$A$500,0)),""))</f>
        <v/>
      </c>
      <c r="G1438" s="8">
        <f>IF(F1438="ocorrência","VP",IF(F1438="sem ocorrência","FP",""))</f>
        <v/>
      </c>
      <c r="H1438" s="7" t="n"/>
      <c r="I1438" s="8">
        <f>IF(H1438&lt;&gt;"",H1438,G1438)</f>
        <v/>
      </c>
    </row>
    <row r="1439">
      <c r="A1439" s="9" t="n"/>
      <c r="B1439" s="9" t="n"/>
      <c r="C1439" s="9" t="n"/>
      <c r="D1439" s="9" t="n"/>
      <c r="E1439" s="9" t="n"/>
      <c r="F1439" s="8">
        <f>IF(A1439="","",IFERROR(INDEX(Testes!$N$2:$N$500,MATCH(A1439,Testes!$A$2:$A$500,0)),""))</f>
        <v/>
      </c>
      <c r="G1439" s="8">
        <f>IF(F1439="ocorrência","VP",IF(F1439="sem ocorrência","FP",""))</f>
        <v/>
      </c>
      <c r="H1439" s="7" t="n"/>
      <c r="I1439" s="8">
        <f>IF(H1439&lt;&gt;"",H1439,G1439)</f>
        <v/>
      </c>
    </row>
    <row r="1440">
      <c r="A1440" s="9" t="n"/>
      <c r="B1440" s="9" t="n"/>
      <c r="C1440" s="9" t="n"/>
      <c r="D1440" s="9" t="n"/>
      <c r="E1440" s="9" t="n"/>
      <c r="F1440" s="8">
        <f>IF(A1440="","",IFERROR(INDEX(Testes!$N$2:$N$500,MATCH(A1440,Testes!$A$2:$A$500,0)),""))</f>
        <v/>
      </c>
      <c r="G1440" s="8">
        <f>IF(F1440="ocorrência","VP",IF(F1440="sem ocorrência","FP",""))</f>
        <v/>
      </c>
      <c r="H1440" s="7" t="n"/>
      <c r="I1440" s="8">
        <f>IF(H1440&lt;&gt;"",H1440,G1440)</f>
        <v/>
      </c>
    </row>
    <row r="1441">
      <c r="A1441" s="9" t="n"/>
      <c r="B1441" s="9" t="n"/>
      <c r="C1441" s="9" t="n"/>
      <c r="D1441" s="9" t="n"/>
      <c r="E1441" s="9" t="n"/>
      <c r="F1441" s="8">
        <f>IF(A1441="","",IFERROR(INDEX(Testes!$N$2:$N$500,MATCH(A1441,Testes!$A$2:$A$500,0)),""))</f>
        <v/>
      </c>
      <c r="G1441" s="8">
        <f>IF(F1441="ocorrência","VP",IF(F1441="sem ocorrência","FP",""))</f>
        <v/>
      </c>
      <c r="H1441" s="7" t="n"/>
      <c r="I1441" s="8">
        <f>IF(H1441&lt;&gt;"",H1441,G1441)</f>
        <v/>
      </c>
    </row>
    <row r="1442">
      <c r="A1442" s="9" t="n"/>
      <c r="B1442" s="9" t="n"/>
      <c r="C1442" s="9" t="n"/>
      <c r="D1442" s="9" t="n"/>
      <c r="E1442" s="9" t="n"/>
      <c r="F1442" s="8">
        <f>IF(A1442="","",IFERROR(INDEX(Testes!$N$2:$N$500,MATCH(A1442,Testes!$A$2:$A$500,0)),""))</f>
        <v/>
      </c>
      <c r="G1442" s="8">
        <f>IF(F1442="ocorrência","VP",IF(F1442="sem ocorrência","FP",""))</f>
        <v/>
      </c>
      <c r="H1442" s="7" t="n"/>
      <c r="I1442" s="8">
        <f>IF(H1442&lt;&gt;"",H1442,G1442)</f>
        <v/>
      </c>
    </row>
    <row r="1443">
      <c r="A1443" s="9" t="n"/>
      <c r="B1443" s="9" t="n"/>
      <c r="C1443" s="9" t="n"/>
      <c r="D1443" s="9" t="n"/>
      <c r="E1443" s="9" t="n"/>
      <c r="F1443" s="8">
        <f>IF(A1443="","",IFERROR(INDEX(Testes!$N$2:$N$500,MATCH(A1443,Testes!$A$2:$A$500,0)),""))</f>
        <v/>
      </c>
      <c r="G1443" s="8">
        <f>IF(F1443="ocorrência","VP",IF(F1443="sem ocorrência","FP",""))</f>
        <v/>
      </c>
      <c r="H1443" s="7" t="n"/>
      <c r="I1443" s="8">
        <f>IF(H1443&lt;&gt;"",H1443,G1443)</f>
        <v/>
      </c>
    </row>
    <row r="1444">
      <c r="A1444" s="9" t="n"/>
      <c r="B1444" s="9" t="n"/>
      <c r="C1444" s="9" t="n"/>
      <c r="D1444" s="9" t="n"/>
      <c r="E1444" s="9" t="n"/>
      <c r="F1444" s="8">
        <f>IF(A1444="","",IFERROR(INDEX(Testes!$N$2:$N$500,MATCH(A1444,Testes!$A$2:$A$500,0)),""))</f>
        <v/>
      </c>
      <c r="G1444" s="8">
        <f>IF(F1444="ocorrência","VP",IF(F1444="sem ocorrência","FP",""))</f>
        <v/>
      </c>
      <c r="H1444" s="7" t="n"/>
      <c r="I1444" s="8">
        <f>IF(H1444&lt;&gt;"",H1444,G1444)</f>
        <v/>
      </c>
    </row>
    <row r="1445">
      <c r="A1445" s="9" t="n"/>
      <c r="B1445" s="9" t="n"/>
      <c r="C1445" s="9" t="n"/>
      <c r="D1445" s="9" t="n"/>
      <c r="E1445" s="9" t="n"/>
      <c r="F1445" s="8">
        <f>IF(A1445="","",IFERROR(INDEX(Testes!$N$2:$N$500,MATCH(A1445,Testes!$A$2:$A$500,0)),""))</f>
        <v/>
      </c>
      <c r="G1445" s="8">
        <f>IF(F1445="ocorrência","VP",IF(F1445="sem ocorrência","FP",""))</f>
        <v/>
      </c>
      <c r="H1445" s="7" t="n"/>
      <c r="I1445" s="8">
        <f>IF(H1445&lt;&gt;"",H1445,G1445)</f>
        <v/>
      </c>
    </row>
    <row r="1446">
      <c r="A1446" s="9" t="n"/>
      <c r="B1446" s="9" t="n"/>
      <c r="C1446" s="9" t="n"/>
      <c r="D1446" s="9" t="n"/>
      <c r="E1446" s="9" t="n"/>
      <c r="F1446" s="8">
        <f>IF(A1446="","",IFERROR(INDEX(Testes!$N$2:$N$500,MATCH(A1446,Testes!$A$2:$A$500,0)),""))</f>
        <v/>
      </c>
      <c r="G1446" s="8">
        <f>IF(F1446="ocorrência","VP",IF(F1446="sem ocorrência","FP",""))</f>
        <v/>
      </c>
      <c r="H1446" s="7" t="n"/>
      <c r="I1446" s="8">
        <f>IF(H1446&lt;&gt;"",H1446,G1446)</f>
        <v/>
      </c>
    </row>
    <row r="1447">
      <c r="A1447" s="9" t="n"/>
      <c r="B1447" s="9" t="n"/>
      <c r="C1447" s="9" t="n"/>
      <c r="D1447" s="9" t="n"/>
      <c r="E1447" s="9" t="n"/>
      <c r="F1447" s="8">
        <f>IF(A1447="","",IFERROR(INDEX(Testes!$N$2:$N$500,MATCH(A1447,Testes!$A$2:$A$500,0)),""))</f>
        <v/>
      </c>
      <c r="G1447" s="8">
        <f>IF(F1447="ocorrência","VP",IF(F1447="sem ocorrência","FP",""))</f>
        <v/>
      </c>
      <c r="H1447" s="7" t="n"/>
      <c r="I1447" s="8">
        <f>IF(H1447&lt;&gt;"",H1447,G1447)</f>
        <v/>
      </c>
    </row>
    <row r="1448">
      <c r="A1448" s="9" t="n"/>
      <c r="B1448" s="9" t="n"/>
      <c r="C1448" s="9" t="n"/>
      <c r="D1448" s="9" t="n"/>
      <c r="E1448" s="9" t="n"/>
      <c r="F1448" s="8">
        <f>IF(A1448="","",IFERROR(INDEX(Testes!$N$2:$N$500,MATCH(A1448,Testes!$A$2:$A$500,0)),""))</f>
        <v/>
      </c>
      <c r="G1448" s="8">
        <f>IF(F1448="ocorrência","VP",IF(F1448="sem ocorrência","FP",""))</f>
        <v/>
      </c>
      <c r="H1448" s="7" t="n"/>
      <c r="I1448" s="8">
        <f>IF(H1448&lt;&gt;"",H1448,G1448)</f>
        <v/>
      </c>
    </row>
    <row r="1449">
      <c r="A1449" s="9" t="n"/>
      <c r="B1449" s="9" t="n"/>
      <c r="C1449" s="9" t="n"/>
      <c r="D1449" s="9" t="n"/>
      <c r="E1449" s="9" t="n"/>
      <c r="F1449" s="8">
        <f>IF(A1449="","",IFERROR(INDEX(Testes!$N$2:$N$500,MATCH(A1449,Testes!$A$2:$A$500,0)),""))</f>
        <v/>
      </c>
      <c r="G1449" s="8">
        <f>IF(F1449="ocorrência","VP",IF(F1449="sem ocorrência","FP",""))</f>
        <v/>
      </c>
      <c r="H1449" s="7" t="n"/>
      <c r="I1449" s="8">
        <f>IF(H1449&lt;&gt;"",H1449,G1449)</f>
        <v/>
      </c>
    </row>
    <row r="1450">
      <c r="A1450" s="9" t="n"/>
      <c r="B1450" s="9" t="n"/>
      <c r="C1450" s="9" t="n"/>
      <c r="D1450" s="9" t="n"/>
      <c r="E1450" s="9" t="n"/>
      <c r="F1450" s="8">
        <f>IF(A1450="","",IFERROR(INDEX(Testes!$N$2:$N$500,MATCH(A1450,Testes!$A$2:$A$500,0)),""))</f>
        <v/>
      </c>
      <c r="G1450" s="8">
        <f>IF(F1450="ocorrência","VP",IF(F1450="sem ocorrência","FP",""))</f>
        <v/>
      </c>
      <c r="H1450" s="7" t="n"/>
      <c r="I1450" s="8">
        <f>IF(H1450&lt;&gt;"",H1450,G1450)</f>
        <v/>
      </c>
    </row>
    <row r="1451">
      <c r="A1451" s="9" t="n"/>
      <c r="B1451" s="9" t="n"/>
      <c r="C1451" s="9" t="n"/>
      <c r="D1451" s="9" t="n"/>
      <c r="E1451" s="9" t="n"/>
      <c r="F1451" s="8">
        <f>IF(A1451="","",IFERROR(INDEX(Testes!$N$2:$N$500,MATCH(A1451,Testes!$A$2:$A$500,0)),""))</f>
        <v/>
      </c>
      <c r="G1451" s="8">
        <f>IF(F1451="ocorrência","VP",IF(F1451="sem ocorrência","FP",""))</f>
        <v/>
      </c>
      <c r="H1451" s="7" t="n"/>
      <c r="I1451" s="8">
        <f>IF(H1451&lt;&gt;"",H1451,G1451)</f>
        <v/>
      </c>
    </row>
    <row r="1452">
      <c r="A1452" s="9" t="n"/>
      <c r="B1452" s="9" t="n"/>
      <c r="C1452" s="9" t="n"/>
      <c r="D1452" s="9" t="n"/>
      <c r="E1452" s="9" t="n"/>
      <c r="F1452" s="8">
        <f>IF(A1452="","",IFERROR(INDEX(Testes!$N$2:$N$500,MATCH(A1452,Testes!$A$2:$A$500,0)),""))</f>
        <v/>
      </c>
      <c r="G1452" s="8">
        <f>IF(F1452="ocorrência","VP",IF(F1452="sem ocorrência","FP",""))</f>
        <v/>
      </c>
      <c r="H1452" s="7" t="n"/>
      <c r="I1452" s="8">
        <f>IF(H1452&lt;&gt;"",H1452,G1452)</f>
        <v/>
      </c>
    </row>
    <row r="1453">
      <c r="A1453" s="9" t="n"/>
      <c r="B1453" s="9" t="n"/>
      <c r="C1453" s="9" t="n"/>
      <c r="D1453" s="9" t="n"/>
      <c r="E1453" s="9" t="n"/>
      <c r="F1453" s="8">
        <f>IF(A1453="","",IFERROR(INDEX(Testes!$N$2:$N$500,MATCH(A1453,Testes!$A$2:$A$500,0)),""))</f>
        <v/>
      </c>
      <c r="G1453" s="8">
        <f>IF(F1453="ocorrência","VP",IF(F1453="sem ocorrência","FP",""))</f>
        <v/>
      </c>
      <c r="H1453" s="7" t="n"/>
      <c r="I1453" s="8">
        <f>IF(H1453&lt;&gt;"",H1453,G1453)</f>
        <v/>
      </c>
    </row>
    <row r="1454">
      <c r="A1454" s="9" t="n"/>
      <c r="B1454" s="9" t="n"/>
      <c r="C1454" s="9" t="n"/>
      <c r="D1454" s="9" t="n"/>
      <c r="E1454" s="9" t="n"/>
      <c r="F1454" s="8">
        <f>IF(A1454="","",IFERROR(INDEX(Testes!$N$2:$N$500,MATCH(A1454,Testes!$A$2:$A$500,0)),""))</f>
        <v/>
      </c>
      <c r="G1454" s="8">
        <f>IF(F1454="ocorrência","VP",IF(F1454="sem ocorrência","FP",""))</f>
        <v/>
      </c>
      <c r="H1454" s="7" t="n"/>
      <c r="I1454" s="8">
        <f>IF(H1454&lt;&gt;"",H1454,G1454)</f>
        <v/>
      </c>
    </row>
    <row r="1455">
      <c r="A1455" s="9" t="n"/>
      <c r="B1455" s="9" t="n"/>
      <c r="C1455" s="9" t="n"/>
      <c r="D1455" s="9" t="n"/>
      <c r="E1455" s="9" t="n"/>
      <c r="F1455" s="8">
        <f>IF(A1455="","",IFERROR(INDEX(Testes!$N$2:$N$500,MATCH(A1455,Testes!$A$2:$A$500,0)),""))</f>
        <v/>
      </c>
      <c r="G1455" s="8">
        <f>IF(F1455="ocorrência","VP",IF(F1455="sem ocorrência","FP",""))</f>
        <v/>
      </c>
      <c r="H1455" s="7" t="n"/>
      <c r="I1455" s="8">
        <f>IF(H1455&lt;&gt;"",H1455,G1455)</f>
        <v/>
      </c>
    </row>
    <row r="1456">
      <c r="A1456" s="9" t="n"/>
      <c r="B1456" s="9" t="n"/>
      <c r="C1456" s="9" t="n"/>
      <c r="D1456" s="9" t="n"/>
      <c r="E1456" s="9" t="n"/>
      <c r="F1456" s="8">
        <f>IF(A1456="","",IFERROR(INDEX(Testes!$N$2:$N$500,MATCH(A1456,Testes!$A$2:$A$500,0)),""))</f>
        <v/>
      </c>
      <c r="G1456" s="8">
        <f>IF(F1456="ocorrência","VP",IF(F1456="sem ocorrência","FP",""))</f>
        <v/>
      </c>
      <c r="H1456" s="7" t="n"/>
      <c r="I1456" s="8">
        <f>IF(H1456&lt;&gt;"",H1456,G1456)</f>
        <v/>
      </c>
    </row>
    <row r="1457">
      <c r="A1457" s="9" t="n"/>
      <c r="B1457" s="9" t="n"/>
      <c r="C1457" s="9" t="n"/>
      <c r="D1457" s="9" t="n"/>
      <c r="E1457" s="9" t="n"/>
      <c r="F1457" s="8">
        <f>IF(A1457="","",IFERROR(INDEX(Testes!$N$2:$N$500,MATCH(A1457,Testes!$A$2:$A$500,0)),""))</f>
        <v/>
      </c>
      <c r="G1457" s="8">
        <f>IF(F1457="ocorrência","VP",IF(F1457="sem ocorrência","FP",""))</f>
        <v/>
      </c>
      <c r="H1457" s="7" t="n"/>
      <c r="I1457" s="8">
        <f>IF(H1457&lt;&gt;"",H1457,G1457)</f>
        <v/>
      </c>
    </row>
    <row r="1458">
      <c r="A1458" s="9" t="n"/>
      <c r="B1458" s="9" t="n"/>
      <c r="C1458" s="9" t="n"/>
      <c r="D1458" s="9" t="n"/>
      <c r="E1458" s="9" t="n"/>
      <c r="F1458" s="8">
        <f>IF(A1458="","",IFERROR(INDEX(Testes!$N$2:$N$500,MATCH(A1458,Testes!$A$2:$A$500,0)),""))</f>
        <v/>
      </c>
      <c r="G1458" s="8">
        <f>IF(F1458="ocorrência","VP",IF(F1458="sem ocorrência","FP",""))</f>
        <v/>
      </c>
      <c r="H1458" s="7" t="n"/>
      <c r="I1458" s="8">
        <f>IF(H1458&lt;&gt;"",H1458,G1458)</f>
        <v/>
      </c>
    </row>
    <row r="1459">
      <c r="A1459" s="9" t="n"/>
      <c r="B1459" s="9" t="n"/>
      <c r="C1459" s="9" t="n"/>
      <c r="D1459" s="9" t="n"/>
      <c r="E1459" s="9" t="n"/>
      <c r="F1459" s="8">
        <f>IF(A1459="","",IFERROR(INDEX(Testes!$N$2:$N$500,MATCH(A1459,Testes!$A$2:$A$500,0)),""))</f>
        <v/>
      </c>
      <c r="G1459" s="8">
        <f>IF(F1459="ocorrência","VP",IF(F1459="sem ocorrência","FP",""))</f>
        <v/>
      </c>
      <c r="H1459" s="7" t="n"/>
      <c r="I1459" s="8">
        <f>IF(H1459&lt;&gt;"",H1459,G1459)</f>
        <v/>
      </c>
    </row>
    <row r="1460">
      <c r="A1460" s="9" t="n"/>
      <c r="B1460" s="9" t="n"/>
      <c r="C1460" s="9" t="n"/>
      <c r="D1460" s="9" t="n"/>
      <c r="E1460" s="9" t="n"/>
      <c r="F1460" s="8">
        <f>IF(A1460="","",IFERROR(INDEX(Testes!$N$2:$N$500,MATCH(A1460,Testes!$A$2:$A$500,0)),""))</f>
        <v/>
      </c>
      <c r="G1460" s="8">
        <f>IF(F1460="ocorrência","VP",IF(F1460="sem ocorrência","FP",""))</f>
        <v/>
      </c>
      <c r="H1460" s="7" t="n"/>
      <c r="I1460" s="8">
        <f>IF(H1460&lt;&gt;"",H1460,G1460)</f>
        <v/>
      </c>
    </row>
    <row r="1461">
      <c r="A1461" s="9" t="n"/>
      <c r="B1461" s="9" t="n"/>
      <c r="C1461" s="9" t="n"/>
      <c r="D1461" s="9" t="n"/>
      <c r="E1461" s="9" t="n"/>
      <c r="F1461" s="8">
        <f>IF(A1461="","",IFERROR(INDEX(Testes!$N$2:$N$500,MATCH(A1461,Testes!$A$2:$A$500,0)),""))</f>
        <v/>
      </c>
      <c r="G1461" s="8">
        <f>IF(F1461="ocorrência","VP",IF(F1461="sem ocorrência","FP",""))</f>
        <v/>
      </c>
      <c r="H1461" s="7" t="n"/>
      <c r="I1461" s="8">
        <f>IF(H1461&lt;&gt;"",H1461,G1461)</f>
        <v/>
      </c>
    </row>
    <row r="1462">
      <c r="A1462" s="9" t="n"/>
      <c r="B1462" s="9" t="n"/>
      <c r="C1462" s="9" t="n"/>
      <c r="D1462" s="9" t="n"/>
      <c r="E1462" s="9" t="n"/>
      <c r="F1462" s="8">
        <f>IF(A1462="","",IFERROR(INDEX(Testes!$N$2:$N$500,MATCH(A1462,Testes!$A$2:$A$500,0)),""))</f>
        <v/>
      </c>
      <c r="G1462" s="8">
        <f>IF(F1462="ocorrência","VP",IF(F1462="sem ocorrência","FP",""))</f>
        <v/>
      </c>
      <c r="H1462" s="7" t="n"/>
      <c r="I1462" s="8">
        <f>IF(H1462&lt;&gt;"",H1462,G1462)</f>
        <v/>
      </c>
    </row>
    <row r="1463">
      <c r="A1463" s="9" t="n"/>
      <c r="B1463" s="9" t="n"/>
      <c r="C1463" s="9" t="n"/>
      <c r="D1463" s="9" t="n"/>
      <c r="E1463" s="9" t="n"/>
      <c r="F1463" s="8">
        <f>IF(A1463="","",IFERROR(INDEX(Testes!$N$2:$N$500,MATCH(A1463,Testes!$A$2:$A$500,0)),""))</f>
        <v/>
      </c>
      <c r="G1463" s="8">
        <f>IF(F1463="ocorrência","VP",IF(F1463="sem ocorrência","FP",""))</f>
        <v/>
      </c>
      <c r="H1463" s="7" t="n"/>
      <c r="I1463" s="8">
        <f>IF(H1463&lt;&gt;"",H1463,G1463)</f>
        <v/>
      </c>
    </row>
    <row r="1464">
      <c r="A1464" s="9" t="n"/>
      <c r="B1464" s="9" t="n"/>
      <c r="C1464" s="9" t="n"/>
      <c r="D1464" s="9" t="n"/>
      <c r="E1464" s="9" t="n"/>
      <c r="F1464" s="8">
        <f>IF(A1464="","",IFERROR(INDEX(Testes!$N$2:$N$500,MATCH(A1464,Testes!$A$2:$A$500,0)),""))</f>
        <v/>
      </c>
      <c r="G1464" s="8">
        <f>IF(F1464="ocorrência","VP",IF(F1464="sem ocorrência","FP",""))</f>
        <v/>
      </c>
      <c r="H1464" s="7" t="n"/>
      <c r="I1464" s="8">
        <f>IF(H1464&lt;&gt;"",H1464,G1464)</f>
        <v/>
      </c>
    </row>
    <row r="1465">
      <c r="A1465" s="9" t="n"/>
      <c r="B1465" s="9" t="n"/>
      <c r="C1465" s="9" t="n"/>
      <c r="D1465" s="9" t="n"/>
      <c r="E1465" s="9" t="n"/>
      <c r="F1465" s="8">
        <f>IF(A1465="","",IFERROR(INDEX(Testes!$N$2:$N$500,MATCH(A1465,Testes!$A$2:$A$500,0)),""))</f>
        <v/>
      </c>
      <c r="G1465" s="8">
        <f>IF(F1465="ocorrência","VP",IF(F1465="sem ocorrência","FP",""))</f>
        <v/>
      </c>
      <c r="H1465" s="7" t="n"/>
      <c r="I1465" s="8">
        <f>IF(H1465&lt;&gt;"",H1465,G1465)</f>
        <v/>
      </c>
    </row>
    <row r="1466">
      <c r="A1466" s="9" t="n"/>
      <c r="B1466" s="9" t="n"/>
      <c r="C1466" s="9" t="n"/>
      <c r="D1466" s="9" t="n"/>
      <c r="E1466" s="9" t="n"/>
      <c r="F1466" s="8">
        <f>IF(A1466="","",IFERROR(INDEX(Testes!$N$2:$N$500,MATCH(A1466,Testes!$A$2:$A$500,0)),""))</f>
        <v/>
      </c>
      <c r="G1466" s="8">
        <f>IF(F1466="ocorrência","VP",IF(F1466="sem ocorrência","FP",""))</f>
        <v/>
      </c>
      <c r="H1466" s="7" t="n"/>
      <c r="I1466" s="8">
        <f>IF(H1466&lt;&gt;"",H1466,G1466)</f>
        <v/>
      </c>
    </row>
    <row r="1467">
      <c r="A1467" s="9" t="n"/>
      <c r="B1467" s="9" t="n"/>
      <c r="C1467" s="9" t="n"/>
      <c r="D1467" s="9" t="n"/>
      <c r="E1467" s="9" t="n"/>
      <c r="F1467" s="8">
        <f>IF(A1467="","",IFERROR(INDEX(Testes!$N$2:$N$500,MATCH(A1467,Testes!$A$2:$A$500,0)),""))</f>
        <v/>
      </c>
      <c r="G1467" s="8">
        <f>IF(F1467="ocorrência","VP",IF(F1467="sem ocorrência","FP",""))</f>
        <v/>
      </c>
      <c r="H1467" s="7" t="n"/>
      <c r="I1467" s="8">
        <f>IF(H1467&lt;&gt;"",H1467,G1467)</f>
        <v/>
      </c>
    </row>
    <row r="1468">
      <c r="A1468" s="9" t="n"/>
      <c r="B1468" s="9" t="n"/>
      <c r="C1468" s="9" t="n"/>
      <c r="D1468" s="9" t="n"/>
      <c r="E1468" s="9" t="n"/>
      <c r="F1468" s="8">
        <f>IF(A1468="","",IFERROR(INDEX(Testes!$N$2:$N$500,MATCH(A1468,Testes!$A$2:$A$500,0)),""))</f>
        <v/>
      </c>
      <c r="G1468" s="8">
        <f>IF(F1468="ocorrência","VP",IF(F1468="sem ocorrência","FP",""))</f>
        <v/>
      </c>
      <c r="H1468" s="7" t="n"/>
      <c r="I1468" s="8">
        <f>IF(H1468&lt;&gt;"",H1468,G1468)</f>
        <v/>
      </c>
    </row>
    <row r="1469">
      <c r="A1469" s="9" t="n"/>
      <c r="B1469" s="9" t="n"/>
      <c r="C1469" s="9" t="n"/>
      <c r="D1469" s="9" t="n"/>
      <c r="E1469" s="9" t="n"/>
      <c r="F1469" s="8">
        <f>IF(A1469="","",IFERROR(INDEX(Testes!$N$2:$N$500,MATCH(A1469,Testes!$A$2:$A$500,0)),""))</f>
        <v/>
      </c>
      <c r="G1469" s="8">
        <f>IF(F1469="ocorrência","VP",IF(F1469="sem ocorrência","FP",""))</f>
        <v/>
      </c>
      <c r="H1469" s="7" t="n"/>
      <c r="I1469" s="8">
        <f>IF(H1469&lt;&gt;"",H1469,G1469)</f>
        <v/>
      </c>
    </row>
    <row r="1470">
      <c r="A1470" s="9" t="n"/>
      <c r="B1470" s="9" t="n"/>
      <c r="C1470" s="9" t="n"/>
      <c r="D1470" s="9" t="n"/>
      <c r="E1470" s="9" t="n"/>
      <c r="F1470" s="8">
        <f>IF(A1470="","",IFERROR(INDEX(Testes!$N$2:$N$500,MATCH(A1470,Testes!$A$2:$A$500,0)),""))</f>
        <v/>
      </c>
      <c r="G1470" s="8">
        <f>IF(F1470="ocorrência","VP",IF(F1470="sem ocorrência","FP",""))</f>
        <v/>
      </c>
      <c r="H1470" s="7" t="n"/>
      <c r="I1470" s="8">
        <f>IF(H1470&lt;&gt;"",H1470,G1470)</f>
        <v/>
      </c>
    </row>
    <row r="1471">
      <c r="A1471" s="9" t="n"/>
      <c r="B1471" s="9" t="n"/>
      <c r="C1471" s="9" t="n"/>
      <c r="D1471" s="9" t="n"/>
      <c r="E1471" s="9" t="n"/>
      <c r="F1471" s="8">
        <f>IF(A1471="","",IFERROR(INDEX(Testes!$N$2:$N$500,MATCH(A1471,Testes!$A$2:$A$500,0)),""))</f>
        <v/>
      </c>
      <c r="G1471" s="8">
        <f>IF(F1471="ocorrência","VP",IF(F1471="sem ocorrência","FP",""))</f>
        <v/>
      </c>
      <c r="H1471" s="7" t="n"/>
      <c r="I1471" s="8">
        <f>IF(H1471&lt;&gt;"",H1471,G1471)</f>
        <v/>
      </c>
    </row>
    <row r="1472">
      <c r="A1472" s="9" t="n"/>
      <c r="B1472" s="9" t="n"/>
      <c r="C1472" s="9" t="n"/>
      <c r="D1472" s="9" t="n"/>
      <c r="E1472" s="9" t="n"/>
      <c r="F1472" s="8">
        <f>IF(A1472="","",IFERROR(INDEX(Testes!$N$2:$N$500,MATCH(A1472,Testes!$A$2:$A$500,0)),""))</f>
        <v/>
      </c>
      <c r="G1472" s="8">
        <f>IF(F1472="ocorrência","VP",IF(F1472="sem ocorrência","FP",""))</f>
        <v/>
      </c>
      <c r="H1472" s="7" t="n"/>
      <c r="I1472" s="8">
        <f>IF(H1472&lt;&gt;"",H1472,G1472)</f>
        <v/>
      </c>
    </row>
    <row r="1473">
      <c r="A1473" s="9" t="n"/>
      <c r="B1473" s="9" t="n"/>
      <c r="C1473" s="9" t="n"/>
      <c r="D1473" s="9" t="n"/>
      <c r="E1473" s="9" t="n"/>
      <c r="F1473" s="8">
        <f>IF(A1473="","",IFERROR(INDEX(Testes!$N$2:$N$500,MATCH(A1473,Testes!$A$2:$A$500,0)),""))</f>
        <v/>
      </c>
      <c r="G1473" s="8">
        <f>IF(F1473="ocorrência","VP",IF(F1473="sem ocorrência","FP",""))</f>
        <v/>
      </c>
      <c r="H1473" s="7" t="n"/>
      <c r="I1473" s="8">
        <f>IF(H1473&lt;&gt;"",H1473,G1473)</f>
        <v/>
      </c>
    </row>
    <row r="1474">
      <c r="A1474" s="9" t="n"/>
      <c r="B1474" s="9" t="n"/>
      <c r="C1474" s="9" t="n"/>
      <c r="D1474" s="9" t="n"/>
      <c r="E1474" s="9" t="n"/>
      <c r="F1474" s="8">
        <f>IF(A1474="","",IFERROR(INDEX(Testes!$N$2:$N$500,MATCH(A1474,Testes!$A$2:$A$500,0)),""))</f>
        <v/>
      </c>
      <c r="G1474" s="8">
        <f>IF(F1474="ocorrência","VP",IF(F1474="sem ocorrência","FP",""))</f>
        <v/>
      </c>
      <c r="H1474" s="7" t="n"/>
      <c r="I1474" s="8">
        <f>IF(H1474&lt;&gt;"",H1474,G1474)</f>
        <v/>
      </c>
    </row>
    <row r="1475">
      <c r="A1475" s="9" t="n"/>
      <c r="B1475" s="9" t="n"/>
      <c r="C1475" s="9" t="n"/>
      <c r="D1475" s="9" t="n"/>
      <c r="E1475" s="9" t="n"/>
      <c r="F1475" s="8">
        <f>IF(A1475="","",IFERROR(INDEX(Testes!$N$2:$N$500,MATCH(A1475,Testes!$A$2:$A$500,0)),""))</f>
        <v/>
      </c>
      <c r="G1475" s="8">
        <f>IF(F1475="ocorrência","VP",IF(F1475="sem ocorrência","FP",""))</f>
        <v/>
      </c>
      <c r="H1475" s="7" t="n"/>
      <c r="I1475" s="8">
        <f>IF(H1475&lt;&gt;"",H1475,G1475)</f>
        <v/>
      </c>
    </row>
    <row r="1476">
      <c r="A1476" s="9" t="n"/>
      <c r="B1476" s="9" t="n"/>
      <c r="C1476" s="9" t="n"/>
      <c r="D1476" s="9" t="n"/>
      <c r="E1476" s="9" t="n"/>
      <c r="F1476" s="8">
        <f>IF(A1476="","",IFERROR(INDEX(Testes!$N$2:$N$500,MATCH(A1476,Testes!$A$2:$A$500,0)),""))</f>
        <v/>
      </c>
      <c r="G1476" s="8">
        <f>IF(F1476="ocorrência","VP",IF(F1476="sem ocorrência","FP",""))</f>
        <v/>
      </c>
      <c r="H1476" s="7" t="n"/>
      <c r="I1476" s="8">
        <f>IF(H1476&lt;&gt;"",H1476,G1476)</f>
        <v/>
      </c>
    </row>
    <row r="1477">
      <c r="A1477" s="9" t="n"/>
      <c r="B1477" s="9" t="n"/>
      <c r="C1477" s="9" t="n"/>
      <c r="D1477" s="9" t="n"/>
      <c r="E1477" s="9" t="n"/>
      <c r="F1477" s="8">
        <f>IF(A1477="","",IFERROR(INDEX(Testes!$N$2:$N$500,MATCH(A1477,Testes!$A$2:$A$500,0)),""))</f>
        <v/>
      </c>
      <c r="G1477" s="8">
        <f>IF(F1477="ocorrência","VP",IF(F1477="sem ocorrência","FP",""))</f>
        <v/>
      </c>
      <c r="H1477" s="7" t="n"/>
      <c r="I1477" s="8">
        <f>IF(H1477&lt;&gt;"",H1477,G1477)</f>
        <v/>
      </c>
    </row>
    <row r="1478">
      <c r="A1478" s="9" t="n"/>
      <c r="B1478" s="9" t="n"/>
      <c r="C1478" s="9" t="n"/>
      <c r="D1478" s="9" t="n"/>
      <c r="E1478" s="9" t="n"/>
      <c r="F1478" s="8">
        <f>IF(A1478="","",IFERROR(INDEX(Testes!$N$2:$N$500,MATCH(A1478,Testes!$A$2:$A$500,0)),""))</f>
        <v/>
      </c>
      <c r="G1478" s="8">
        <f>IF(F1478="ocorrência","VP",IF(F1478="sem ocorrência","FP",""))</f>
        <v/>
      </c>
      <c r="H1478" s="7" t="n"/>
      <c r="I1478" s="8">
        <f>IF(H1478&lt;&gt;"",H1478,G1478)</f>
        <v/>
      </c>
    </row>
    <row r="1479">
      <c r="A1479" s="9" t="n"/>
      <c r="B1479" s="9" t="n"/>
      <c r="C1479" s="9" t="n"/>
      <c r="D1479" s="9" t="n"/>
      <c r="E1479" s="9" t="n"/>
      <c r="F1479" s="8">
        <f>IF(A1479="","",IFERROR(INDEX(Testes!$N$2:$N$500,MATCH(A1479,Testes!$A$2:$A$500,0)),""))</f>
        <v/>
      </c>
      <c r="G1479" s="8">
        <f>IF(F1479="ocorrência","VP",IF(F1479="sem ocorrência","FP",""))</f>
        <v/>
      </c>
      <c r="H1479" s="7" t="n"/>
      <c r="I1479" s="8">
        <f>IF(H1479&lt;&gt;"",H1479,G1479)</f>
        <v/>
      </c>
    </row>
    <row r="1480">
      <c r="A1480" s="9" t="n"/>
      <c r="B1480" s="9" t="n"/>
      <c r="C1480" s="9" t="n"/>
      <c r="D1480" s="9" t="n"/>
      <c r="E1480" s="9" t="n"/>
      <c r="F1480" s="8">
        <f>IF(A1480="","",IFERROR(INDEX(Testes!$N$2:$N$500,MATCH(A1480,Testes!$A$2:$A$500,0)),""))</f>
        <v/>
      </c>
      <c r="G1480" s="8">
        <f>IF(F1480="ocorrência","VP",IF(F1480="sem ocorrência","FP",""))</f>
        <v/>
      </c>
      <c r="H1480" s="7" t="n"/>
      <c r="I1480" s="8">
        <f>IF(H1480&lt;&gt;"",H1480,G1480)</f>
        <v/>
      </c>
    </row>
    <row r="1481">
      <c r="A1481" s="9" t="n"/>
      <c r="B1481" s="9" t="n"/>
      <c r="C1481" s="9" t="n"/>
      <c r="D1481" s="9" t="n"/>
      <c r="E1481" s="9" t="n"/>
      <c r="F1481" s="8">
        <f>IF(A1481="","",IFERROR(INDEX(Testes!$N$2:$N$500,MATCH(A1481,Testes!$A$2:$A$500,0)),""))</f>
        <v/>
      </c>
      <c r="G1481" s="8">
        <f>IF(F1481="ocorrência","VP",IF(F1481="sem ocorrência","FP",""))</f>
        <v/>
      </c>
      <c r="H1481" s="7" t="n"/>
      <c r="I1481" s="8">
        <f>IF(H1481&lt;&gt;"",H1481,G1481)</f>
        <v/>
      </c>
    </row>
    <row r="1482">
      <c r="A1482" s="9" t="n"/>
      <c r="B1482" s="9" t="n"/>
      <c r="C1482" s="9" t="n"/>
      <c r="D1482" s="9" t="n"/>
      <c r="E1482" s="9" t="n"/>
      <c r="F1482" s="8">
        <f>IF(A1482="","",IFERROR(INDEX(Testes!$N$2:$N$500,MATCH(A1482,Testes!$A$2:$A$500,0)),""))</f>
        <v/>
      </c>
      <c r="G1482" s="8">
        <f>IF(F1482="ocorrência","VP",IF(F1482="sem ocorrência","FP",""))</f>
        <v/>
      </c>
      <c r="H1482" s="7" t="n"/>
      <c r="I1482" s="8">
        <f>IF(H1482&lt;&gt;"",H1482,G1482)</f>
        <v/>
      </c>
    </row>
    <row r="1483">
      <c r="A1483" s="9" t="n"/>
      <c r="B1483" s="9" t="n"/>
      <c r="C1483" s="9" t="n"/>
      <c r="D1483" s="9" t="n"/>
      <c r="E1483" s="9" t="n"/>
      <c r="F1483" s="8">
        <f>IF(A1483="","",IFERROR(INDEX(Testes!$N$2:$N$500,MATCH(A1483,Testes!$A$2:$A$500,0)),""))</f>
        <v/>
      </c>
      <c r="G1483" s="8">
        <f>IF(F1483="ocorrência","VP",IF(F1483="sem ocorrência","FP",""))</f>
        <v/>
      </c>
      <c r="H1483" s="7" t="n"/>
      <c r="I1483" s="8">
        <f>IF(H1483&lt;&gt;"",H1483,G1483)</f>
        <v/>
      </c>
    </row>
    <row r="1484">
      <c r="A1484" s="9" t="n"/>
      <c r="B1484" s="9" t="n"/>
      <c r="C1484" s="9" t="n"/>
      <c r="D1484" s="9" t="n"/>
      <c r="E1484" s="9" t="n"/>
      <c r="F1484" s="8">
        <f>IF(A1484="","",IFERROR(INDEX(Testes!$N$2:$N$500,MATCH(A1484,Testes!$A$2:$A$500,0)),""))</f>
        <v/>
      </c>
      <c r="G1484" s="8">
        <f>IF(F1484="ocorrência","VP",IF(F1484="sem ocorrência","FP",""))</f>
        <v/>
      </c>
      <c r="H1484" s="7" t="n"/>
      <c r="I1484" s="8">
        <f>IF(H1484&lt;&gt;"",H1484,G1484)</f>
        <v/>
      </c>
    </row>
    <row r="1485">
      <c r="A1485" s="9" t="n"/>
      <c r="B1485" s="9" t="n"/>
      <c r="C1485" s="9" t="n"/>
      <c r="D1485" s="9" t="n"/>
      <c r="E1485" s="9" t="n"/>
      <c r="F1485" s="8">
        <f>IF(A1485="","",IFERROR(INDEX(Testes!$N$2:$N$500,MATCH(A1485,Testes!$A$2:$A$500,0)),""))</f>
        <v/>
      </c>
      <c r="G1485" s="8">
        <f>IF(F1485="ocorrência","VP",IF(F1485="sem ocorrência","FP",""))</f>
        <v/>
      </c>
      <c r="H1485" s="7" t="n"/>
      <c r="I1485" s="8">
        <f>IF(H1485&lt;&gt;"",H1485,G1485)</f>
        <v/>
      </c>
    </row>
    <row r="1486">
      <c r="A1486" s="9" t="n"/>
      <c r="B1486" s="9" t="n"/>
      <c r="C1486" s="9" t="n"/>
      <c r="D1486" s="9" t="n"/>
      <c r="E1486" s="9" t="n"/>
      <c r="F1486" s="8">
        <f>IF(A1486="","",IFERROR(INDEX(Testes!$N$2:$N$500,MATCH(A1486,Testes!$A$2:$A$500,0)),""))</f>
        <v/>
      </c>
      <c r="G1486" s="8">
        <f>IF(F1486="ocorrência","VP",IF(F1486="sem ocorrência","FP",""))</f>
        <v/>
      </c>
      <c r="H1486" s="7" t="n"/>
      <c r="I1486" s="8">
        <f>IF(H1486&lt;&gt;"",H1486,G1486)</f>
        <v/>
      </c>
    </row>
    <row r="1487">
      <c r="A1487" s="9" t="n"/>
      <c r="B1487" s="9" t="n"/>
      <c r="C1487" s="9" t="n"/>
      <c r="D1487" s="9" t="n"/>
      <c r="E1487" s="9" t="n"/>
      <c r="F1487" s="8">
        <f>IF(A1487="","",IFERROR(INDEX(Testes!$N$2:$N$500,MATCH(A1487,Testes!$A$2:$A$500,0)),""))</f>
        <v/>
      </c>
      <c r="G1487" s="8">
        <f>IF(F1487="ocorrência","VP",IF(F1487="sem ocorrência","FP",""))</f>
        <v/>
      </c>
      <c r="H1487" s="7" t="n"/>
      <c r="I1487" s="8">
        <f>IF(H1487&lt;&gt;"",H1487,G1487)</f>
        <v/>
      </c>
    </row>
    <row r="1488">
      <c r="A1488" s="9" t="n"/>
      <c r="B1488" s="9" t="n"/>
      <c r="C1488" s="9" t="n"/>
      <c r="D1488" s="9" t="n"/>
      <c r="E1488" s="9" t="n"/>
      <c r="F1488" s="8">
        <f>IF(A1488="","",IFERROR(INDEX(Testes!$N$2:$N$500,MATCH(A1488,Testes!$A$2:$A$500,0)),""))</f>
        <v/>
      </c>
      <c r="G1488" s="8">
        <f>IF(F1488="ocorrência","VP",IF(F1488="sem ocorrência","FP",""))</f>
        <v/>
      </c>
      <c r="H1488" s="7" t="n"/>
      <c r="I1488" s="8">
        <f>IF(H1488&lt;&gt;"",H1488,G1488)</f>
        <v/>
      </c>
    </row>
    <row r="1489">
      <c r="A1489" s="9" t="n"/>
      <c r="B1489" s="9" t="n"/>
      <c r="C1489" s="9" t="n"/>
      <c r="D1489" s="9" t="n"/>
      <c r="E1489" s="9" t="n"/>
      <c r="F1489" s="8">
        <f>IF(A1489="","",IFERROR(INDEX(Testes!$N$2:$N$500,MATCH(A1489,Testes!$A$2:$A$500,0)),""))</f>
        <v/>
      </c>
      <c r="G1489" s="8">
        <f>IF(F1489="ocorrência","VP",IF(F1489="sem ocorrência","FP",""))</f>
        <v/>
      </c>
      <c r="H1489" s="7" t="n"/>
      <c r="I1489" s="8">
        <f>IF(H1489&lt;&gt;"",H1489,G1489)</f>
        <v/>
      </c>
    </row>
    <row r="1490">
      <c r="A1490" s="9" t="n"/>
      <c r="B1490" s="9" t="n"/>
      <c r="C1490" s="9" t="n"/>
      <c r="D1490" s="9" t="n"/>
      <c r="E1490" s="9" t="n"/>
      <c r="F1490" s="8">
        <f>IF(A1490="","",IFERROR(INDEX(Testes!$N$2:$N$500,MATCH(A1490,Testes!$A$2:$A$500,0)),""))</f>
        <v/>
      </c>
      <c r="G1490" s="8">
        <f>IF(F1490="ocorrência","VP",IF(F1490="sem ocorrência","FP",""))</f>
        <v/>
      </c>
      <c r="H1490" s="7" t="n"/>
      <c r="I1490" s="8">
        <f>IF(H1490&lt;&gt;"",H1490,G1490)</f>
        <v/>
      </c>
    </row>
    <row r="1491">
      <c r="A1491" s="9" t="n"/>
      <c r="B1491" s="9" t="n"/>
      <c r="C1491" s="9" t="n"/>
      <c r="D1491" s="9" t="n"/>
      <c r="E1491" s="9" t="n"/>
      <c r="F1491" s="8">
        <f>IF(A1491="","",IFERROR(INDEX(Testes!$N$2:$N$500,MATCH(A1491,Testes!$A$2:$A$500,0)),""))</f>
        <v/>
      </c>
      <c r="G1491" s="8">
        <f>IF(F1491="ocorrência","VP",IF(F1491="sem ocorrência","FP",""))</f>
        <v/>
      </c>
      <c r="H1491" s="7" t="n"/>
      <c r="I1491" s="8">
        <f>IF(H1491&lt;&gt;"",H1491,G1491)</f>
        <v/>
      </c>
    </row>
    <row r="1492">
      <c r="A1492" s="9" t="n"/>
      <c r="B1492" s="9" t="n"/>
      <c r="C1492" s="9" t="n"/>
      <c r="D1492" s="9" t="n"/>
      <c r="E1492" s="9" t="n"/>
      <c r="F1492" s="8">
        <f>IF(A1492="","",IFERROR(INDEX(Testes!$N$2:$N$500,MATCH(A1492,Testes!$A$2:$A$500,0)),""))</f>
        <v/>
      </c>
      <c r="G1492" s="8">
        <f>IF(F1492="ocorrência","VP",IF(F1492="sem ocorrência","FP",""))</f>
        <v/>
      </c>
      <c r="H1492" s="7" t="n"/>
      <c r="I1492" s="8">
        <f>IF(H1492&lt;&gt;"",H1492,G1492)</f>
        <v/>
      </c>
    </row>
    <row r="1493">
      <c r="A1493" s="9" t="n"/>
      <c r="B1493" s="9" t="n"/>
      <c r="C1493" s="9" t="n"/>
      <c r="D1493" s="9" t="n"/>
      <c r="E1493" s="9" t="n"/>
      <c r="F1493" s="8">
        <f>IF(A1493="","",IFERROR(INDEX(Testes!$N$2:$N$500,MATCH(A1493,Testes!$A$2:$A$500,0)),""))</f>
        <v/>
      </c>
      <c r="G1493" s="8">
        <f>IF(F1493="ocorrência","VP",IF(F1493="sem ocorrência","FP",""))</f>
        <v/>
      </c>
      <c r="H1493" s="7" t="n"/>
      <c r="I1493" s="8">
        <f>IF(H1493&lt;&gt;"",H1493,G1493)</f>
        <v/>
      </c>
    </row>
    <row r="1494">
      <c r="A1494" s="9" t="n"/>
      <c r="B1494" s="9" t="n"/>
      <c r="C1494" s="9" t="n"/>
      <c r="D1494" s="9" t="n"/>
      <c r="E1494" s="9" t="n"/>
      <c r="F1494" s="8">
        <f>IF(A1494="","",IFERROR(INDEX(Testes!$N$2:$N$500,MATCH(A1494,Testes!$A$2:$A$500,0)),""))</f>
        <v/>
      </c>
      <c r="G1494" s="8">
        <f>IF(F1494="ocorrência","VP",IF(F1494="sem ocorrência","FP",""))</f>
        <v/>
      </c>
      <c r="H1494" s="7" t="n"/>
      <c r="I1494" s="8">
        <f>IF(H1494&lt;&gt;"",H1494,G1494)</f>
        <v/>
      </c>
    </row>
    <row r="1495">
      <c r="A1495" s="9" t="n"/>
      <c r="B1495" s="9" t="n"/>
      <c r="C1495" s="9" t="n"/>
      <c r="D1495" s="9" t="n"/>
      <c r="E1495" s="9" t="n"/>
      <c r="F1495" s="8">
        <f>IF(A1495="","",IFERROR(INDEX(Testes!$N$2:$N$500,MATCH(A1495,Testes!$A$2:$A$500,0)),""))</f>
        <v/>
      </c>
      <c r="G1495" s="8">
        <f>IF(F1495="ocorrência","VP",IF(F1495="sem ocorrência","FP",""))</f>
        <v/>
      </c>
      <c r="H1495" s="7" t="n"/>
      <c r="I1495" s="8">
        <f>IF(H1495&lt;&gt;"",H1495,G1495)</f>
        <v/>
      </c>
    </row>
    <row r="1496">
      <c r="A1496" s="9" t="n"/>
      <c r="B1496" s="9" t="n"/>
      <c r="C1496" s="9" t="n"/>
      <c r="D1496" s="9" t="n"/>
      <c r="E1496" s="9" t="n"/>
      <c r="F1496" s="8">
        <f>IF(A1496="","",IFERROR(INDEX(Testes!$N$2:$N$500,MATCH(A1496,Testes!$A$2:$A$500,0)),""))</f>
        <v/>
      </c>
      <c r="G1496" s="8">
        <f>IF(F1496="ocorrência","VP",IF(F1496="sem ocorrência","FP",""))</f>
        <v/>
      </c>
      <c r="H1496" s="7" t="n"/>
      <c r="I1496" s="8">
        <f>IF(H1496&lt;&gt;"",H1496,G1496)</f>
        <v/>
      </c>
    </row>
    <row r="1497">
      <c r="A1497" s="9" t="n"/>
      <c r="B1497" s="9" t="n"/>
      <c r="C1497" s="9" t="n"/>
      <c r="D1497" s="9" t="n"/>
      <c r="E1497" s="9" t="n"/>
      <c r="F1497" s="8">
        <f>IF(A1497="","",IFERROR(INDEX(Testes!$N$2:$N$500,MATCH(A1497,Testes!$A$2:$A$500,0)),""))</f>
        <v/>
      </c>
      <c r="G1497" s="8">
        <f>IF(F1497="ocorrência","VP",IF(F1497="sem ocorrência","FP",""))</f>
        <v/>
      </c>
      <c r="H1497" s="7" t="n"/>
      <c r="I1497" s="8">
        <f>IF(H1497&lt;&gt;"",H1497,G1497)</f>
        <v/>
      </c>
    </row>
    <row r="1498">
      <c r="A1498" s="9" t="n"/>
      <c r="B1498" s="9" t="n"/>
      <c r="C1498" s="9" t="n"/>
      <c r="D1498" s="9" t="n"/>
      <c r="E1498" s="9" t="n"/>
      <c r="F1498" s="8">
        <f>IF(A1498="","",IFERROR(INDEX(Testes!$N$2:$N$500,MATCH(A1498,Testes!$A$2:$A$500,0)),""))</f>
        <v/>
      </c>
      <c r="G1498" s="8">
        <f>IF(F1498="ocorrência","VP",IF(F1498="sem ocorrência","FP",""))</f>
        <v/>
      </c>
      <c r="H1498" s="7" t="n"/>
      <c r="I1498" s="8">
        <f>IF(H1498&lt;&gt;"",H1498,G1498)</f>
        <v/>
      </c>
    </row>
    <row r="1499">
      <c r="A1499" s="9" t="n"/>
      <c r="B1499" s="9" t="n"/>
      <c r="C1499" s="9" t="n"/>
      <c r="D1499" s="9" t="n"/>
      <c r="E1499" s="9" t="n"/>
      <c r="F1499" s="8">
        <f>IF(A1499="","",IFERROR(INDEX(Testes!$N$2:$N$500,MATCH(A1499,Testes!$A$2:$A$500,0)),""))</f>
        <v/>
      </c>
      <c r="G1499" s="8">
        <f>IF(F1499="ocorrência","VP",IF(F1499="sem ocorrência","FP",""))</f>
        <v/>
      </c>
      <c r="H1499" s="7" t="n"/>
      <c r="I1499" s="8">
        <f>IF(H1499&lt;&gt;"",H1499,G1499)</f>
        <v/>
      </c>
    </row>
    <row r="1500">
      <c r="A1500" s="9" t="n"/>
      <c r="B1500" s="9" t="n"/>
      <c r="C1500" s="9" t="n"/>
      <c r="D1500" s="9" t="n"/>
      <c r="E1500" s="9" t="n"/>
      <c r="F1500" s="8">
        <f>IF(A1500="","",IFERROR(INDEX(Testes!$N$2:$N$500,MATCH(A1500,Testes!$A$2:$A$500,0)),""))</f>
        <v/>
      </c>
      <c r="G1500" s="8">
        <f>IF(F1500="ocorrência","VP",IF(F1500="sem ocorrência","FP",""))</f>
        <v/>
      </c>
      <c r="H1500" s="7" t="n"/>
      <c r="I1500" s="8">
        <f>IF(H1500&lt;&gt;"",H1500,G1500)</f>
        <v/>
      </c>
    </row>
    <row r="1501">
      <c r="A1501" s="9" t="n"/>
      <c r="B1501" s="9" t="n"/>
      <c r="C1501" s="9" t="n"/>
      <c r="D1501" s="9" t="n"/>
      <c r="E1501" s="9" t="n"/>
      <c r="F1501" s="8">
        <f>IF(A1501="","",IFERROR(INDEX(Testes!$N$2:$N$500,MATCH(A1501,Testes!$A$2:$A$500,0)),""))</f>
        <v/>
      </c>
      <c r="G1501" s="8">
        <f>IF(F1501="ocorrência","VP",IF(F1501="sem ocorrência","FP",""))</f>
        <v/>
      </c>
      <c r="H1501" s="7" t="n"/>
      <c r="I1501" s="8">
        <f>IF(H1501&lt;&gt;"",H1501,G1501)</f>
        <v/>
      </c>
    </row>
    <row r="1502">
      <c r="A1502" s="9" t="n"/>
      <c r="B1502" s="9" t="n"/>
      <c r="C1502" s="9" t="n"/>
      <c r="D1502" s="9" t="n"/>
      <c r="E1502" s="9" t="n"/>
      <c r="F1502" s="8">
        <f>IF(A1502="","",IFERROR(INDEX(Testes!$N$2:$N$500,MATCH(A1502,Testes!$A$2:$A$500,0)),""))</f>
        <v/>
      </c>
      <c r="G1502" s="8">
        <f>IF(F1502="ocorrência","VP",IF(F1502="sem ocorrência","FP",""))</f>
        <v/>
      </c>
      <c r="H1502" s="7" t="n"/>
      <c r="I1502" s="8">
        <f>IF(H1502&lt;&gt;"",H1502,G1502)</f>
        <v/>
      </c>
    </row>
    <row r="1503">
      <c r="A1503" s="9" t="n"/>
      <c r="B1503" s="9" t="n"/>
      <c r="C1503" s="9" t="n"/>
      <c r="D1503" s="9" t="n"/>
      <c r="E1503" s="9" t="n"/>
      <c r="F1503" s="8">
        <f>IF(A1503="","",IFERROR(INDEX(Testes!$N$2:$N$500,MATCH(A1503,Testes!$A$2:$A$500,0)),""))</f>
        <v/>
      </c>
      <c r="G1503" s="8">
        <f>IF(F1503="ocorrência","VP",IF(F1503="sem ocorrência","FP",""))</f>
        <v/>
      </c>
      <c r="H1503" s="7" t="n"/>
      <c r="I1503" s="8">
        <f>IF(H1503&lt;&gt;"",H1503,G1503)</f>
        <v/>
      </c>
    </row>
    <row r="1504">
      <c r="A1504" s="9" t="n"/>
      <c r="B1504" s="9" t="n"/>
      <c r="C1504" s="9" t="n"/>
      <c r="D1504" s="9" t="n"/>
      <c r="E1504" s="9" t="n"/>
      <c r="F1504" s="8">
        <f>IF(A1504="","",IFERROR(INDEX(Testes!$N$2:$N$500,MATCH(A1504,Testes!$A$2:$A$500,0)),""))</f>
        <v/>
      </c>
      <c r="G1504" s="8">
        <f>IF(F1504="ocorrência","VP",IF(F1504="sem ocorrência","FP",""))</f>
        <v/>
      </c>
      <c r="H1504" s="7" t="n"/>
      <c r="I1504" s="8">
        <f>IF(H1504&lt;&gt;"",H1504,G1504)</f>
        <v/>
      </c>
    </row>
    <row r="1505">
      <c r="A1505" s="9" t="n"/>
      <c r="B1505" s="9" t="n"/>
      <c r="C1505" s="9" t="n"/>
      <c r="D1505" s="9" t="n"/>
      <c r="E1505" s="9" t="n"/>
      <c r="F1505" s="8">
        <f>IF(A1505="","",IFERROR(INDEX(Testes!$N$2:$N$500,MATCH(A1505,Testes!$A$2:$A$500,0)),""))</f>
        <v/>
      </c>
      <c r="G1505" s="8">
        <f>IF(F1505="ocorrência","VP",IF(F1505="sem ocorrência","FP",""))</f>
        <v/>
      </c>
      <c r="H1505" s="7" t="n"/>
      <c r="I1505" s="8">
        <f>IF(H1505&lt;&gt;"",H1505,G1505)</f>
        <v/>
      </c>
    </row>
    <row r="1506">
      <c r="A1506" s="9" t="n"/>
      <c r="B1506" s="9" t="n"/>
      <c r="C1506" s="9" t="n"/>
      <c r="D1506" s="9" t="n"/>
      <c r="E1506" s="9" t="n"/>
      <c r="F1506" s="8">
        <f>IF(A1506="","",IFERROR(INDEX(Testes!$N$2:$N$500,MATCH(A1506,Testes!$A$2:$A$500,0)),""))</f>
        <v/>
      </c>
      <c r="G1506" s="8">
        <f>IF(F1506="ocorrência","VP",IF(F1506="sem ocorrência","FP",""))</f>
        <v/>
      </c>
      <c r="H1506" s="7" t="n"/>
      <c r="I1506" s="8">
        <f>IF(H1506&lt;&gt;"",H1506,G1506)</f>
        <v/>
      </c>
    </row>
    <row r="1507">
      <c r="A1507" s="9" t="n"/>
      <c r="B1507" s="9" t="n"/>
      <c r="C1507" s="9" t="n"/>
      <c r="D1507" s="9" t="n"/>
      <c r="E1507" s="9" t="n"/>
      <c r="F1507" s="8">
        <f>IF(A1507="","",IFERROR(INDEX(Testes!$N$2:$N$500,MATCH(A1507,Testes!$A$2:$A$500,0)),""))</f>
        <v/>
      </c>
      <c r="G1507" s="8">
        <f>IF(F1507="ocorrência","VP",IF(F1507="sem ocorrência","FP",""))</f>
        <v/>
      </c>
      <c r="H1507" s="7" t="n"/>
      <c r="I1507" s="8">
        <f>IF(H1507&lt;&gt;"",H1507,G1507)</f>
        <v/>
      </c>
    </row>
    <row r="1508">
      <c r="A1508" s="9" t="n"/>
      <c r="B1508" s="9" t="n"/>
      <c r="C1508" s="9" t="n"/>
      <c r="D1508" s="9" t="n"/>
      <c r="E1508" s="9" t="n"/>
      <c r="F1508" s="8">
        <f>IF(A1508="","",IFERROR(INDEX(Testes!$N$2:$N$500,MATCH(A1508,Testes!$A$2:$A$500,0)),""))</f>
        <v/>
      </c>
      <c r="G1508" s="8">
        <f>IF(F1508="ocorrência","VP",IF(F1508="sem ocorrência","FP",""))</f>
        <v/>
      </c>
      <c r="H1508" s="7" t="n"/>
      <c r="I1508" s="8">
        <f>IF(H1508&lt;&gt;"",H1508,G1508)</f>
        <v/>
      </c>
    </row>
    <row r="1509">
      <c r="A1509" s="9" t="n"/>
      <c r="B1509" s="9" t="n"/>
      <c r="C1509" s="9" t="n"/>
      <c r="D1509" s="9" t="n"/>
      <c r="E1509" s="9" t="n"/>
      <c r="F1509" s="8">
        <f>IF(A1509="","",IFERROR(INDEX(Testes!$N$2:$N$500,MATCH(A1509,Testes!$A$2:$A$500,0)),""))</f>
        <v/>
      </c>
      <c r="G1509" s="8">
        <f>IF(F1509="ocorrência","VP",IF(F1509="sem ocorrência","FP",""))</f>
        <v/>
      </c>
      <c r="H1509" s="7" t="n"/>
      <c r="I1509" s="8">
        <f>IF(H1509&lt;&gt;"",H1509,G1509)</f>
        <v/>
      </c>
    </row>
    <row r="1510">
      <c r="A1510" s="9" t="n"/>
      <c r="B1510" s="9" t="n"/>
      <c r="C1510" s="9" t="n"/>
      <c r="D1510" s="9" t="n"/>
      <c r="E1510" s="9" t="n"/>
      <c r="F1510" s="8">
        <f>IF(A1510="","",IFERROR(INDEX(Testes!$N$2:$N$500,MATCH(A1510,Testes!$A$2:$A$500,0)),""))</f>
        <v/>
      </c>
      <c r="G1510" s="8">
        <f>IF(F1510="ocorrência","VP",IF(F1510="sem ocorrência","FP",""))</f>
        <v/>
      </c>
      <c r="H1510" s="7" t="n"/>
      <c r="I1510" s="8">
        <f>IF(H1510&lt;&gt;"",H1510,G1510)</f>
        <v/>
      </c>
    </row>
    <row r="1511">
      <c r="A1511" s="9" t="n"/>
      <c r="B1511" s="9" t="n"/>
      <c r="C1511" s="9" t="n"/>
      <c r="D1511" s="9" t="n"/>
      <c r="E1511" s="9" t="n"/>
      <c r="F1511" s="8">
        <f>IF(A1511="","",IFERROR(INDEX(Testes!$N$2:$N$500,MATCH(A1511,Testes!$A$2:$A$500,0)),""))</f>
        <v/>
      </c>
      <c r="G1511" s="8">
        <f>IF(F1511="ocorrência","VP",IF(F1511="sem ocorrência","FP",""))</f>
        <v/>
      </c>
      <c r="H1511" s="7" t="n"/>
      <c r="I1511" s="8">
        <f>IF(H1511&lt;&gt;"",H1511,G1511)</f>
        <v/>
      </c>
    </row>
    <row r="1512">
      <c r="A1512" s="9" t="n"/>
      <c r="B1512" s="9" t="n"/>
      <c r="C1512" s="9" t="n"/>
      <c r="D1512" s="9" t="n"/>
      <c r="E1512" s="9" t="n"/>
      <c r="F1512" s="8">
        <f>IF(A1512="","",IFERROR(INDEX(Testes!$N$2:$N$500,MATCH(A1512,Testes!$A$2:$A$500,0)),""))</f>
        <v/>
      </c>
      <c r="G1512" s="8">
        <f>IF(F1512="ocorrência","VP",IF(F1512="sem ocorrência","FP",""))</f>
        <v/>
      </c>
      <c r="H1512" s="7" t="n"/>
      <c r="I1512" s="8">
        <f>IF(H1512&lt;&gt;"",H1512,G1512)</f>
        <v/>
      </c>
    </row>
    <row r="1513">
      <c r="A1513" s="9" t="n"/>
      <c r="B1513" s="9" t="n"/>
      <c r="C1513" s="9" t="n"/>
      <c r="D1513" s="9" t="n"/>
      <c r="E1513" s="9" t="n"/>
      <c r="F1513" s="8">
        <f>IF(A1513="","",IFERROR(INDEX(Testes!$N$2:$N$500,MATCH(A1513,Testes!$A$2:$A$500,0)),""))</f>
        <v/>
      </c>
      <c r="G1513" s="8">
        <f>IF(F1513="ocorrência","VP",IF(F1513="sem ocorrência","FP",""))</f>
        <v/>
      </c>
      <c r="H1513" s="7" t="n"/>
      <c r="I1513" s="8">
        <f>IF(H1513&lt;&gt;"",H1513,G1513)</f>
        <v/>
      </c>
    </row>
    <row r="1514">
      <c r="A1514" s="9" t="n"/>
      <c r="B1514" s="9" t="n"/>
      <c r="C1514" s="9" t="n"/>
      <c r="D1514" s="9" t="n"/>
      <c r="E1514" s="9" t="n"/>
      <c r="F1514" s="8">
        <f>IF(A1514="","",IFERROR(INDEX(Testes!$N$2:$N$500,MATCH(A1514,Testes!$A$2:$A$500,0)),""))</f>
        <v/>
      </c>
      <c r="G1514" s="8">
        <f>IF(F1514="ocorrência","VP",IF(F1514="sem ocorrência","FP",""))</f>
        <v/>
      </c>
      <c r="H1514" s="7" t="n"/>
      <c r="I1514" s="8">
        <f>IF(H1514&lt;&gt;"",H1514,G1514)</f>
        <v/>
      </c>
    </row>
    <row r="1515">
      <c r="A1515" s="9" t="n"/>
      <c r="B1515" s="9" t="n"/>
      <c r="C1515" s="9" t="n"/>
      <c r="D1515" s="9" t="n"/>
      <c r="E1515" s="9" t="n"/>
      <c r="F1515" s="8">
        <f>IF(A1515="","",IFERROR(INDEX(Testes!$N$2:$N$500,MATCH(A1515,Testes!$A$2:$A$500,0)),""))</f>
        <v/>
      </c>
      <c r="G1515" s="8">
        <f>IF(F1515="ocorrência","VP",IF(F1515="sem ocorrência","FP",""))</f>
        <v/>
      </c>
      <c r="H1515" s="7" t="n"/>
      <c r="I1515" s="8">
        <f>IF(H1515&lt;&gt;"",H1515,G1515)</f>
        <v/>
      </c>
    </row>
    <row r="1516">
      <c r="A1516" s="9" t="n"/>
      <c r="B1516" s="9" t="n"/>
      <c r="C1516" s="9" t="n"/>
      <c r="D1516" s="9" t="n"/>
      <c r="E1516" s="9" t="n"/>
      <c r="F1516" s="8">
        <f>IF(A1516="","",IFERROR(INDEX(Testes!$N$2:$N$500,MATCH(A1516,Testes!$A$2:$A$500,0)),""))</f>
        <v/>
      </c>
      <c r="G1516" s="8">
        <f>IF(F1516="ocorrência","VP",IF(F1516="sem ocorrência","FP",""))</f>
        <v/>
      </c>
      <c r="H1516" s="7" t="n"/>
      <c r="I1516" s="8">
        <f>IF(H1516&lt;&gt;"",H1516,G1516)</f>
        <v/>
      </c>
    </row>
    <row r="1517">
      <c r="A1517" s="9" t="n"/>
      <c r="B1517" s="9" t="n"/>
      <c r="C1517" s="9" t="n"/>
      <c r="D1517" s="9" t="n"/>
      <c r="E1517" s="9" t="n"/>
      <c r="F1517" s="8">
        <f>IF(A1517="","",IFERROR(INDEX(Testes!$N$2:$N$500,MATCH(A1517,Testes!$A$2:$A$500,0)),""))</f>
        <v/>
      </c>
      <c r="G1517" s="8">
        <f>IF(F1517="ocorrência","VP",IF(F1517="sem ocorrência","FP",""))</f>
        <v/>
      </c>
      <c r="H1517" s="7" t="n"/>
      <c r="I1517" s="8">
        <f>IF(H1517&lt;&gt;"",H1517,G1517)</f>
        <v/>
      </c>
    </row>
    <row r="1518">
      <c r="A1518" s="9" t="n"/>
      <c r="B1518" s="9" t="n"/>
      <c r="C1518" s="9" t="n"/>
      <c r="D1518" s="9" t="n"/>
      <c r="E1518" s="9" t="n"/>
      <c r="F1518" s="8">
        <f>IF(A1518="","",IFERROR(INDEX(Testes!$N$2:$N$500,MATCH(A1518,Testes!$A$2:$A$500,0)),""))</f>
        <v/>
      </c>
      <c r="G1518" s="8">
        <f>IF(F1518="ocorrência","VP",IF(F1518="sem ocorrência","FP",""))</f>
        <v/>
      </c>
      <c r="H1518" s="7" t="n"/>
      <c r="I1518" s="8">
        <f>IF(H1518&lt;&gt;"",H1518,G1518)</f>
        <v/>
      </c>
    </row>
    <row r="1519">
      <c r="A1519" s="9" t="n"/>
      <c r="B1519" s="9" t="n"/>
      <c r="C1519" s="9" t="n"/>
      <c r="D1519" s="9" t="n"/>
      <c r="E1519" s="9" t="n"/>
      <c r="F1519" s="8">
        <f>IF(A1519="","",IFERROR(INDEX(Testes!$N$2:$N$500,MATCH(A1519,Testes!$A$2:$A$500,0)),""))</f>
        <v/>
      </c>
      <c r="G1519" s="8">
        <f>IF(F1519="ocorrência","VP",IF(F1519="sem ocorrência","FP",""))</f>
        <v/>
      </c>
      <c r="H1519" s="7" t="n"/>
      <c r="I1519" s="8">
        <f>IF(H1519&lt;&gt;"",H1519,G1519)</f>
        <v/>
      </c>
    </row>
    <row r="1520">
      <c r="A1520" s="9" t="n"/>
      <c r="B1520" s="9" t="n"/>
      <c r="C1520" s="9" t="n"/>
      <c r="D1520" s="9" t="n"/>
      <c r="E1520" s="9" t="n"/>
      <c r="F1520" s="8">
        <f>IF(A1520="","",IFERROR(INDEX(Testes!$N$2:$N$500,MATCH(A1520,Testes!$A$2:$A$500,0)),""))</f>
        <v/>
      </c>
      <c r="G1520" s="8">
        <f>IF(F1520="ocorrência","VP",IF(F1520="sem ocorrência","FP",""))</f>
        <v/>
      </c>
      <c r="H1520" s="7" t="n"/>
      <c r="I1520" s="8">
        <f>IF(H1520&lt;&gt;"",H1520,G1520)</f>
        <v/>
      </c>
    </row>
    <row r="1521">
      <c r="A1521" s="9" t="n"/>
      <c r="B1521" s="9" t="n"/>
      <c r="C1521" s="9" t="n"/>
      <c r="D1521" s="9" t="n"/>
      <c r="E1521" s="9" t="n"/>
      <c r="F1521" s="8">
        <f>IF(A1521="","",IFERROR(INDEX(Testes!$N$2:$N$500,MATCH(A1521,Testes!$A$2:$A$500,0)),""))</f>
        <v/>
      </c>
      <c r="G1521" s="8">
        <f>IF(F1521="ocorrência","VP",IF(F1521="sem ocorrência","FP",""))</f>
        <v/>
      </c>
      <c r="H1521" s="7" t="n"/>
      <c r="I1521" s="8">
        <f>IF(H1521&lt;&gt;"",H1521,G1521)</f>
        <v/>
      </c>
    </row>
    <row r="1522">
      <c r="A1522" s="9" t="n"/>
      <c r="B1522" s="9" t="n"/>
      <c r="C1522" s="9" t="n"/>
      <c r="D1522" s="9" t="n"/>
      <c r="E1522" s="9" t="n"/>
      <c r="F1522" s="8">
        <f>IF(A1522="","",IFERROR(INDEX(Testes!$N$2:$N$500,MATCH(A1522,Testes!$A$2:$A$500,0)),""))</f>
        <v/>
      </c>
      <c r="G1522" s="8">
        <f>IF(F1522="ocorrência","VP",IF(F1522="sem ocorrência","FP",""))</f>
        <v/>
      </c>
      <c r="H1522" s="7" t="n"/>
      <c r="I1522" s="8">
        <f>IF(H1522&lt;&gt;"",H1522,G1522)</f>
        <v/>
      </c>
    </row>
    <row r="1523">
      <c r="A1523" s="9" t="n"/>
      <c r="B1523" s="9" t="n"/>
      <c r="C1523" s="9" t="n"/>
      <c r="D1523" s="9" t="n"/>
      <c r="E1523" s="9" t="n"/>
      <c r="F1523" s="8">
        <f>IF(A1523="","",IFERROR(INDEX(Testes!$N$2:$N$500,MATCH(A1523,Testes!$A$2:$A$500,0)),""))</f>
        <v/>
      </c>
      <c r="G1523" s="8">
        <f>IF(F1523="ocorrência","VP",IF(F1523="sem ocorrência","FP",""))</f>
        <v/>
      </c>
      <c r="H1523" s="7" t="n"/>
      <c r="I1523" s="8">
        <f>IF(H1523&lt;&gt;"",H1523,G1523)</f>
        <v/>
      </c>
    </row>
    <row r="1524">
      <c r="A1524" s="9" t="n"/>
      <c r="B1524" s="9" t="n"/>
      <c r="C1524" s="9" t="n"/>
      <c r="D1524" s="9" t="n"/>
      <c r="E1524" s="9" t="n"/>
      <c r="F1524" s="8">
        <f>IF(A1524="","",IFERROR(INDEX(Testes!$N$2:$N$500,MATCH(A1524,Testes!$A$2:$A$500,0)),""))</f>
        <v/>
      </c>
      <c r="G1524" s="8">
        <f>IF(F1524="ocorrência","VP",IF(F1524="sem ocorrência","FP",""))</f>
        <v/>
      </c>
      <c r="H1524" s="7" t="n"/>
      <c r="I1524" s="8">
        <f>IF(H1524&lt;&gt;"",H1524,G1524)</f>
        <v/>
      </c>
    </row>
    <row r="1525">
      <c r="A1525" s="9" t="n"/>
      <c r="B1525" s="9" t="n"/>
      <c r="C1525" s="9" t="n"/>
      <c r="D1525" s="9" t="n"/>
      <c r="E1525" s="9" t="n"/>
      <c r="F1525" s="8">
        <f>IF(A1525="","",IFERROR(INDEX(Testes!$N$2:$N$500,MATCH(A1525,Testes!$A$2:$A$500,0)),""))</f>
        <v/>
      </c>
      <c r="G1525" s="8">
        <f>IF(F1525="ocorrência","VP",IF(F1525="sem ocorrência","FP",""))</f>
        <v/>
      </c>
      <c r="H1525" s="7" t="n"/>
      <c r="I1525" s="8">
        <f>IF(H1525&lt;&gt;"",H1525,G1525)</f>
        <v/>
      </c>
    </row>
    <row r="1526">
      <c r="A1526" s="9" t="n"/>
      <c r="B1526" s="9" t="n"/>
      <c r="C1526" s="9" t="n"/>
      <c r="D1526" s="9" t="n"/>
      <c r="E1526" s="9" t="n"/>
      <c r="F1526" s="8">
        <f>IF(A1526="","",IFERROR(INDEX(Testes!$N$2:$N$500,MATCH(A1526,Testes!$A$2:$A$500,0)),""))</f>
        <v/>
      </c>
      <c r="G1526" s="8">
        <f>IF(F1526="ocorrência","VP",IF(F1526="sem ocorrência","FP",""))</f>
        <v/>
      </c>
      <c r="H1526" s="7" t="n"/>
      <c r="I1526" s="8">
        <f>IF(H1526&lt;&gt;"",H1526,G1526)</f>
        <v/>
      </c>
    </row>
    <row r="1527">
      <c r="A1527" s="9" t="n"/>
      <c r="B1527" s="9" t="n"/>
      <c r="C1527" s="9" t="n"/>
      <c r="D1527" s="9" t="n"/>
      <c r="E1527" s="9" t="n"/>
      <c r="F1527" s="8">
        <f>IF(A1527="","",IFERROR(INDEX(Testes!$N$2:$N$500,MATCH(A1527,Testes!$A$2:$A$500,0)),""))</f>
        <v/>
      </c>
      <c r="G1527" s="8">
        <f>IF(F1527="ocorrência","VP",IF(F1527="sem ocorrência","FP",""))</f>
        <v/>
      </c>
      <c r="H1527" s="7" t="n"/>
      <c r="I1527" s="8">
        <f>IF(H1527&lt;&gt;"",H1527,G1527)</f>
        <v/>
      </c>
    </row>
    <row r="1528">
      <c r="A1528" s="9" t="n"/>
      <c r="B1528" s="9" t="n"/>
      <c r="C1528" s="9" t="n"/>
      <c r="D1528" s="9" t="n"/>
      <c r="E1528" s="9" t="n"/>
      <c r="F1528" s="8">
        <f>IF(A1528="","",IFERROR(INDEX(Testes!$N$2:$N$500,MATCH(A1528,Testes!$A$2:$A$500,0)),""))</f>
        <v/>
      </c>
      <c r="G1528" s="8">
        <f>IF(F1528="ocorrência","VP",IF(F1528="sem ocorrência","FP",""))</f>
        <v/>
      </c>
      <c r="H1528" s="7" t="n"/>
      <c r="I1528" s="8">
        <f>IF(H1528&lt;&gt;"",H1528,G1528)</f>
        <v/>
      </c>
    </row>
    <row r="1529">
      <c r="A1529" s="9" t="n"/>
      <c r="B1529" s="9" t="n"/>
      <c r="C1529" s="9" t="n"/>
      <c r="D1529" s="9" t="n"/>
      <c r="E1529" s="9" t="n"/>
      <c r="F1529" s="8">
        <f>IF(A1529="","",IFERROR(INDEX(Testes!$N$2:$N$500,MATCH(A1529,Testes!$A$2:$A$500,0)),""))</f>
        <v/>
      </c>
      <c r="G1529" s="8">
        <f>IF(F1529="ocorrência","VP",IF(F1529="sem ocorrência","FP",""))</f>
        <v/>
      </c>
      <c r="H1529" s="7" t="n"/>
      <c r="I1529" s="8">
        <f>IF(H1529&lt;&gt;"",H1529,G1529)</f>
        <v/>
      </c>
    </row>
    <row r="1530">
      <c r="A1530" s="9" t="n"/>
      <c r="B1530" s="9" t="n"/>
      <c r="C1530" s="9" t="n"/>
      <c r="D1530" s="9" t="n"/>
      <c r="E1530" s="9" t="n"/>
      <c r="F1530" s="8">
        <f>IF(A1530="","",IFERROR(INDEX(Testes!$N$2:$N$500,MATCH(A1530,Testes!$A$2:$A$500,0)),""))</f>
        <v/>
      </c>
      <c r="G1530" s="8">
        <f>IF(F1530="ocorrência","VP",IF(F1530="sem ocorrência","FP",""))</f>
        <v/>
      </c>
      <c r="H1530" s="7" t="n"/>
      <c r="I1530" s="8">
        <f>IF(H1530&lt;&gt;"",H1530,G1530)</f>
        <v/>
      </c>
    </row>
    <row r="1531">
      <c r="A1531" s="9" t="n"/>
      <c r="B1531" s="9" t="n"/>
      <c r="C1531" s="9" t="n"/>
      <c r="D1531" s="9" t="n"/>
      <c r="E1531" s="9" t="n"/>
      <c r="F1531" s="8">
        <f>IF(A1531="","",IFERROR(INDEX(Testes!$N$2:$N$500,MATCH(A1531,Testes!$A$2:$A$500,0)),""))</f>
        <v/>
      </c>
      <c r="G1531" s="8">
        <f>IF(F1531="ocorrência","VP",IF(F1531="sem ocorrência","FP",""))</f>
        <v/>
      </c>
      <c r="H1531" s="7" t="n"/>
      <c r="I1531" s="8">
        <f>IF(H1531&lt;&gt;"",H1531,G1531)</f>
        <v/>
      </c>
    </row>
    <row r="1532">
      <c r="A1532" s="9" t="n"/>
      <c r="B1532" s="9" t="n"/>
      <c r="C1532" s="9" t="n"/>
      <c r="D1532" s="9" t="n"/>
      <c r="E1532" s="9" t="n"/>
      <c r="F1532" s="8">
        <f>IF(A1532="","",IFERROR(INDEX(Testes!$N$2:$N$500,MATCH(A1532,Testes!$A$2:$A$500,0)),""))</f>
        <v/>
      </c>
      <c r="G1532" s="8">
        <f>IF(F1532="ocorrência","VP",IF(F1532="sem ocorrência","FP",""))</f>
        <v/>
      </c>
      <c r="H1532" s="7" t="n"/>
      <c r="I1532" s="8">
        <f>IF(H1532&lt;&gt;"",H1532,G1532)</f>
        <v/>
      </c>
    </row>
    <row r="1533">
      <c r="A1533" s="9" t="n"/>
      <c r="B1533" s="9" t="n"/>
      <c r="C1533" s="9" t="n"/>
      <c r="D1533" s="9" t="n"/>
      <c r="E1533" s="9" t="n"/>
      <c r="F1533" s="8">
        <f>IF(A1533="","",IFERROR(INDEX(Testes!$N$2:$N$500,MATCH(A1533,Testes!$A$2:$A$500,0)),""))</f>
        <v/>
      </c>
      <c r="G1533" s="8">
        <f>IF(F1533="ocorrência","VP",IF(F1533="sem ocorrência","FP",""))</f>
        <v/>
      </c>
      <c r="H1533" s="7" t="n"/>
      <c r="I1533" s="8">
        <f>IF(H1533&lt;&gt;"",H1533,G1533)</f>
        <v/>
      </c>
    </row>
    <row r="1534">
      <c r="A1534" s="9" t="n"/>
      <c r="B1534" s="9" t="n"/>
      <c r="C1534" s="9" t="n"/>
      <c r="D1534" s="9" t="n"/>
      <c r="E1534" s="9" t="n"/>
      <c r="F1534" s="8">
        <f>IF(A1534="","",IFERROR(INDEX(Testes!$N$2:$N$500,MATCH(A1534,Testes!$A$2:$A$500,0)),""))</f>
        <v/>
      </c>
      <c r="G1534" s="8">
        <f>IF(F1534="ocorrência","VP",IF(F1534="sem ocorrência","FP",""))</f>
        <v/>
      </c>
      <c r="H1534" s="7" t="n"/>
      <c r="I1534" s="8">
        <f>IF(H1534&lt;&gt;"",H1534,G1534)</f>
        <v/>
      </c>
    </row>
    <row r="1535">
      <c r="A1535" s="9" t="n"/>
      <c r="B1535" s="9" t="n"/>
      <c r="C1535" s="9" t="n"/>
      <c r="D1535" s="9" t="n"/>
      <c r="E1535" s="9" t="n"/>
      <c r="F1535" s="8">
        <f>IF(A1535="","",IFERROR(INDEX(Testes!$N$2:$N$500,MATCH(A1535,Testes!$A$2:$A$500,0)),""))</f>
        <v/>
      </c>
      <c r="G1535" s="8">
        <f>IF(F1535="ocorrência","VP",IF(F1535="sem ocorrência","FP",""))</f>
        <v/>
      </c>
      <c r="H1535" s="7" t="n"/>
      <c r="I1535" s="8">
        <f>IF(H1535&lt;&gt;"",H1535,G1535)</f>
        <v/>
      </c>
    </row>
    <row r="1536">
      <c r="A1536" s="9" t="n"/>
      <c r="B1536" s="9" t="n"/>
      <c r="C1536" s="9" t="n"/>
      <c r="D1536" s="9" t="n"/>
      <c r="E1536" s="9" t="n"/>
      <c r="F1536" s="8">
        <f>IF(A1536="","",IFERROR(INDEX(Testes!$N$2:$N$500,MATCH(A1536,Testes!$A$2:$A$500,0)),""))</f>
        <v/>
      </c>
      <c r="G1536" s="8">
        <f>IF(F1536="ocorrência","VP",IF(F1536="sem ocorrência","FP",""))</f>
        <v/>
      </c>
      <c r="H1536" s="7" t="n"/>
      <c r="I1536" s="8">
        <f>IF(H1536&lt;&gt;"",H1536,G1536)</f>
        <v/>
      </c>
    </row>
    <row r="1537">
      <c r="A1537" s="9" t="n"/>
      <c r="B1537" s="9" t="n"/>
      <c r="C1537" s="9" t="n"/>
      <c r="D1537" s="9" t="n"/>
      <c r="E1537" s="9" t="n"/>
      <c r="F1537" s="8">
        <f>IF(A1537="","",IFERROR(INDEX(Testes!$N$2:$N$500,MATCH(A1537,Testes!$A$2:$A$500,0)),""))</f>
        <v/>
      </c>
      <c r="G1537" s="8">
        <f>IF(F1537="ocorrência","VP",IF(F1537="sem ocorrência","FP",""))</f>
        <v/>
      </c>
      <c r="H1537" s="7" t="n"/>
      <c r="I1537" s="8">
        <f>IF(H1537&lt;&gt;"",H1537,G1537)</f>
        <v/>
      </c>
    </row>
    <row r="1538">
      <c r="A1538" s="9" t="n"/>
      <c r="B1538" s="9" t="n"/>
      <c r="C1538" s="9" t="n"/>
      <c r="D1538" s="9" t="n"/>
      <c r="E1538" s="9" t="n"/>
      <c r="F1538" s="8">
        <f>IF(A1538="","",IFERROR(INDEX(Testes!$N$2:$N$500,MATCH(A1538,Testes!$A$2:$A$500,0)),""))</f>
        <v/>
      </c>
      <c r="G1538" s="8">
        <f>IF(F1538="ocorrência","VP",IF(F1538="sem ocorrência","FP",""))</f>
        <v/>
      </c>
      <c r="H1538" s="7" t="n"/>
      <c r="I1538" s="8">
        <f>IF(H1538&lt;&gt;"",H1538,G1538)</f>
        <v/>
      </c>
    </row>
    <row r="1539">
      <c r="A1539" s="9" t="n"/>
      <c r="B1539" s="9" t="n"/>
      <c r="C1539" s="9" t="n"/>
      <c r="D1539" s="9" t="n"/>
      <c r="E1539" s="9" t="n"/>
      <c r="F1539" s="8">
        <f>IF(A1539="","",IFERROR(INDEX(Testes!$N$2:$N$500,MATCH(A1539,Testes!$A$2:$A$500,0)),""))</f>
        <v/>
      </c>
      <c r="G1539" s="8">
        <f>IF(F1539="ocorrência","VP",IF(F1539="sem ocorrência","FP",""))</f>
        <v/>
      </c>
      <c r="H1539" s="7" t="n"/>
      <c r="I1539" s="8">
        <f>IF(H1539&lt;&gt;"",H1539,G1539)</f>
        <v/>
      </c>
    </row>
    <row r="1540">
      <c r="A1540" s="9" t="n"/>
      <c r="B1540" s="9" t="n"/>
      <c r="C1540" s="9" t="n"/>
      <c r="D1540" s="9" t="n"/>
      <c r="E1540" s="9" t="n"/>
      <c r="F1540" s="8">
        <f>IF(A1540="","",IFERROR(INDEX(Testes!$N$2:$N$500,MATCH(A1540,Testes!$A$2:$A$500,0)),""))</f>
        <v/>
      </c>
      <c r="G1540" s="8">
        <f>IF(F1540="ocorrência","VP",IF(F1540="sem ocorrência","FP",""))</f>
        <v/>
      </c>
      <c r="H1540" s="7" t="n"/>
      <c r="I1540" s="8">
        <f>IF(H1540&lt;&gt;"",H1540,G1540)</f>
        <v/>
      </c>
    </row>
    <row r="1541">
      <c r="A1541" s="9" t="n"/>
      <c r="B1541" s="9" t="n"/>
      <c r="C1541" s="9" t="n"/>
      <c r="D1541" s="9" t="n"/>
      <c r="E1541" s="9" t="n"/>
      <c r="F1541" s="8">
        <f>IF(A1541="","",IFERROR(INDEX(Testes!$N$2:$N$500,MATCH(A1541,Testes!$A$2:$A$500,0)),""))</f>
        <v/>
      </c>
      <c r="G1541" s="8">
        <f>IF(F1541="ocorrência","VP",IF(F1541="sem ocorrência","FP",""))</f>
        <v/>
      </c>
      <c r="H1541" s="7" t="n"/>
      <c r="I1541" s="8">
        <f>IF(H1541&lt;&gt;"",H1541,G1541)</f>
        <v/>
      </c>
    </row>
    <row r="1542">
      <c r="A1542" s="9" t="n"/>
      <c r="B1542" s="9" t="n"/>
      <c r="C1542" s="9" t="n"/>
      <c r="D1542" s="9" t="n"/>
      <c r="E1542" s="9" t="n"/>
      <c r="F1542" s="8">
        <f>IF(A1542="","",IFERROR(INDEX(Testes!$N$2:$N$500,MATCH(A1542,Testes!$A$2:$A$500,0)),""))</f>
        <v/>
      </c>
      <c r="G1542" s="8">
        <f>IF(F1542="ocorrência","VP",IF(F1542="sem ocorrência","FP",""))</f>
        <v/>
      </c>
      <c r="H1542" s="7" t="n"/>
      <c r="I1542" s="8">
        <f>IF(H1542&lt;&gt;"",H1542,G1542)</f>
        <v/>
      </c>
    </row>
    <row r="1543">
      <c r="A1543" s="9" t="n"/>
      <c r="B1543" s="9" t="n"/>
      <c r="C1543" s="9" t="n"/>
      <c r="D1543" s="9" t="n"/>
      <c r="E1543" s="9" t="n"/>
      <c r="F1543" s="8">
        <f>IF(A1543="","",IFERROR(INDEX(Testes!$N$2:$N$500,MATCH(A1543,Testes!$A$2:$A$500,0)),""))</f>
        <v/>
      </c>
      <c r="G1543" s="8">
        <f>IF(F1543="ocorrência","VP",IF(F1543="sem ocorrência","FP",""))</f>
        <v/>
      </c>
      <c r="H1543" s="7" t="n"/>
      <c r="I1543" s="8">
        <f>IF(H1543&lt;&gt;"",H1543,G1543)</f>
        <v/>
      </c>
    </row>
    <row r="1544">
      <c r="A1544" s="9" t="n"/>
      <c r="B1544" s="9" t="n"/>
      <c r="C1544" s="9" t="n"/>
      <c r="D1544" s="9" t="n"/>
      <c r="E1544" s="9" t="n"/>
      <c r="F1544" s="8">
        <f>IF(A1544="","",IFERROR(INDEX(Testes!$N$2:$N$500,MATCH(A1544,Testes!$A$2:$A$500,0)),""))</f>
        <v/>
      </c>
      <c r="G1544" s="8">
        <f>IF(F1544="ocorrência","VP",IF(F1544="sem ocorrência","FP",""))</f>
        <v/>
      </c>
      <c r="H1544" s="7" t="n"/>
      <c r="I1544" s="8">
        <f>IF(H1544&lt;&gt;"",H1544,G1544)</f>
        <v/>
      </c>
    </row>
    <row r="1545">
      <c r="A1545" s="9" t="n"/>
      <c r="B1545" s="9" t="n"/>
      <c r="C1545" s="9" t="n"/>
      <c r="D1545" s="9" t="n"/>
      <c r="E1545" s="9" t="n"/>
      <c r="F1545" s="8">
        <f>IF(A1545="","",IFERROR(INDEX(Testes!$N$2:$N$500,MATCH(A1545,Testes!$A$2:$A$500,0)),""))</f>
        <v/>
      </c>
      <c r="G1545" s="8">
        <f>IF(F1545="ocorrência","VP",IF(F1545="sem ocorrência","FP",""))</f>
        <v/>
      </c>
      <c r="H1545" s="7" t="n"/>
      <c r="I1545" s="8">
        <f>IF(H1545&lt;&gt;"",H1545,G1545)</f>
        <v/>
      </c>
    </row>
    <row r="1546">
      <c r="A1546" s="9" t="n"/>
      <c r="B1546" s="9" t="n"/>
      <c r="C1546" s="9" t="n"/>
      <c r="D1546" s="9" t="n"/>
      <c r="E1546" s="9" t="n"/>
      <c r="F1546" s="8">
        <f>IF(A1546="","",IFERROR(INDEX(Testes!$N$2:$N$500,MATCH(A1546,Testes!$A$2:$A$500,0)),""))</f>
        <v/>
      </c>
      <c r="G1546" s="8">
        <f>IF(F1546="ocorrência","VP",IF(F1546="sem ocorrência","FP",""))</f>
        <v/>
      </c>
      <c r="H1546" s="7" t="n"/>
      <c r="I1546" s="8">
        <f>IF(H1546&lt;&gt;"",H1546,G1546)</f>
        <v/>
      </c>
    </row>
    <row r="1547">
      <c r="A1547" s="9" t="n"/>
      <c r="B1547" s="9" t="n"/>
      <c r="C1547" s="9" t="n"/>
      <c r="D1547" s="9" t="n"/>
      <c r="E1547" s="9" t="n"/>
      <c r="F1547" s="8">
        <f>IF(A1547="","",IFERROR(INDEX(Testes!$N$2:$N$500,MATCH(A1547,Testes!$A$2:$A$500,0)),""))</f>
        <v/>
      </c>
      <c r="G1547" s="8">
        <f>IF(F1547="ocorrência","VP",IF(F1547="sem ocorrência","FP",""))</f>
        <v/>
      </c>
      <c r="H1547" s="7" t="n"/>
      <c r="I1547" s="8">
        <f>IF(H1547&lt;&gt;"",H1547,G1547)</f>
        <v/>
      </c>
    </row>
    <row r="1548">
      <c r="A1548" s="9" t="n"/>
      <c r="B1548" s="9" t="n"/>
      <c r="C1548" s="9" t="n"/>
      <c r="D1548" s="9" t="n"/>
      <c r="E1548" s="9" t="n"/>
      <c r="F1548" s="8">
        <f>IF(A1548="","",IFERROR(INDEX(Testes!$N$2:$N$500,MATCH(A1548,Testes!$A$2:$A$500,0)),""))</f>
        <v/>
      </c>
      <c r="G1548" s="8">
        <f>IF(F1548="ocorrência","VP",IF(F1548="sem ocorrência","FP",""))</f>
        <v/>
      </c>
      <c r="H1548" s="7" t="n"/>
      <c r="I1548" s="8">
        <f>IF(H1548&lt;&gt;"",H1548,G1548)</f>
        <v/>
      </c>
    </row>
    <row r="1549">
      <c r="A1549" s="9" t="n"/>
      <c r="B1549" s="9" t="n"/>
      <c r="C1549" s="9" t="n"/>
      <c r="D1549" s="9" t="n"/>
      <c r="E1549" s="9" t="n"/>
      <c r="F1549" s="8">
        <f>IF(A1549="","",IFERROR(INDEX(Testes!$N$2:$N$500,MATCH(A1549,Testes!$A$2:$A$500,0)),""))</f>
        <v/>
      </c>
      <c r="G1549" s="8">
        <f>IF(F1549="ocorrência","VP",IF(F1549="sem ocorrência","FP",""))</f>
        <v/>
      </c>
      <c r="H1549" s="7" t="n"/>
      <c r="I1549" s="8">
        <f>IF(H1549&lt;&gt;"",H1549,G1549)</f>
        <v/>
      </c>
    </row>
    <row r="1550">
      <c r="A1550" s="9" t="n"/>
      <c r="B1550" s="9" t="n"/>
      <c r="C1550" s="9" t="n"/>
      <c r="D1550" s="9" t="n"/>
      <c r="E1550" s="9" t="n"/>
      <c r="F1550" s="8">
        <f>IF(A1550="","",IFERROR(INDEX(Testes!$N$2:$N$500,MATCH(A1550,Testes!$A$2:$A$500,0)),""))</f>
        <v/>
      </c>
      <c r="G1550" s="8">
        <f>IF(F1550="ocorrência","VP",IF(F1550="sem ocorrência","FP",""))</f>
        <v/>
      </c>
      <c r="H1550" s="7" t="n"/>
      <c r="I1550" s="8">
        <f>IF(H1550&lt;&gt;"",H1550,G1550)</f>
        <v/>
      </c>
    </row>
    <row r="1551">
      <c r="A1551" s="9" t="n"/>
      <c r="B1551" s="9" t="n"/>
      <c r="C1551" s="9" t="n"/>
      <c r="D1551" s="9" t="n"/>
      <c r="E1551" s="9" t="n"/>
      <c r="F1551" s="8">
        <f>IF(A1551="","",IFERROR(INDEX(Testes!$N$2:$N$500,MATCH(A1551,Testes!$A$2:$A$500,0)),""))</f>
        <v/>
      </c>
      <c r="G1551" s="8">
        <f>IF(F1551="ocorrência","VP",IF(F1551="sem ocorrência","FP",""))</f>
        <v/>
      </c>
      <c r="H1551" s="7" t="n"/>
      <c r="I1551" s="8">
        <f>IF(H1551&lt;&gt;"",H1551,G1551)</f>
        <v/>
      </c>
    </row>
    <row r="1552">
      <c r="A1552" s="9" t="n"/>
      <c r="B1552" s="9" t="n"/>
      <c r="C1552" s="9" t="n"/>
      <c r="D1552" s="9" t="n"/>
      <c r="E1552" s="9" t="n"/>
      <c r="F1552" s="8">
        <f>IF(A1552="","",IFERROR(INDEX(Testes!$N$2:$N$500,MATCH(A1552,Testes!$A$2:$A$500,0)),""))</f>
        <v/>
      </c>
      <c r="G1552" s="8">
        <f>IF(F1552="ocorrência","VP",IF(F1552="sem ocorrência","FP",""))</f>
        <v/>
      </c>
      <c r="H1552" s="7" t="n"/>
      <c r="I1552" s="8">
        <f>IF(H1552&lt;&gt;"",H1552,G1552)</f>
        <v/>
      </c>
    </row>
    <row r="1553">
      <c r="A1553" s="9" t="n"/>
      <c r="B1553" s="9" t="n"/>
      <c r="C1553" s="9" t="n"/>
      <c r="D1553" s="9" t="n"/>
      <c r="E1553" s="9" t="n"/>
      <c r="F1553" s="8">
        <f>IF(A1553="","",IFERROR(INDEX(Testes!$N$2:$N$500,MATCH(A1553,Testes!$A$2:$A$500,0)),""))</f>
        <v/>
      </c>
      <c r="G1553" s="8">
        <f>IF(F1553="ocorrência","VP",IF(F1553="sem ocorrência","FP",""))</f>
        <v/>
      </c>
      <c r="H1553" s="7" t="n"/>
      <c r="I1553" s="8">
        <f>IF(H1553&lt;&gt;"",H1553,G1553)</f>
        <v/>
      </c>
    </row>
    <row r="1554">
      <c r="A1554" s="9" t="n"/>
      <c r="B1554" s="9" t="n"/>
      <c r="C1554" s="9" t="n"/>
      <c r="D1554" s="9" t="n"/>
      <c r="E1554" s="9" t="n"/>
      <c r="F1554" s="8">
        <f>IF(A1554="","",IFERROR(INDEX(Testes!$N$2:$N$500,MATCH(A1554,Testes!$A$2:$A$500,0)),""))</f>
        <v/>
      </c>
      <c r="G1554" s="8">
        <f>IF(F1554="ocorrência","VP",IF(F1554="sem ocorrência","FP",""))</f>
        <v/>
      </c>
      <c r="H1554" s="7" t="n"/>
      <c r="I1554" s="8">
        <f>IF(H1554&lt;&gt;"",H1554,G1554)</f>
        <v/>
      </c>
    </row>
    <row r="1555">
      <c r="A1555" s="9" t="n"/>
      <c r="B1555" s="9" t="n"/>
      <c r="C1555" s="9" t="n"/>
      <c r="D1555" s="9" t="n"/>
      <c r="E1555" s="9" t="n"/>
      <c r="F1555" s="8">
        <f>IF(A1555="","",IFERROR(INDEX(Testes!$N$2:$N$500,MATCH(A1555,Testes!$A$2:$A$500,0)),""))</f>
        <v/>
      </c>
      <c r="G1555" s="8">
        <f>IF(F1555="ocorrência","VP",IF(F1555="sem ocorrência","FP",""))</f>
        <v/>
      </c>
      <c r="H1555" s="7" t="n"/>
      <c r="I1555" s="8">
        <f>IF(H1555&lt;&gt;"",H1555,G1555)</f>
        <v/>
      </c>
    </row>
    <row r="1556">
      <c r="A1556" s="9" t="n"/>
      <c r="B1556" s="9" t="n"/>
      <c r="C1556" s="9" t="n"/>
      <c r="D1556" s="9" t="n"/>
      <c r="E1556" s="9" t="n"/>
      <c r="F1556" s="8">
        <f>IF(A1556="","",IFERROR(INDEX(Testes!$N$2:$N$500,MATCH(A1556,Testes!$A$2:$A$500,0)),""))</f>
        <v/>
      </c>
      <c r="G1556" s="8">
        <f>IF(F1556="ocorrência","VP",IF(F1556="sem ocorrência","FP",""))</f>
        <v/>
      </c>
      <c r="H1556" s="7" t="n"/>
      <c r="I1556" s="8">
        <f>IF(H1556&lt;&gt;"",H1556,G1556)</f>
        <v/>
      </c>
    </row>
    <row r="1557">
      <c r="A1557" s="9" t="n"/>
      <c r="B1557" s="9" t="n"/>
      <c r="C1557" s="9" t="n"/>
      <c r="D1557" s="9" t="n"/>
      <c r="E1557" s="9" t="n"/>
      <c r="F1557" s="8">
        <f>IF(A1557="","",IFERROR(INDEX(Testes!$N$2:$N$500,MATCH(A1557,Testes!$A$2:$A$500,0)),""))</f>
        <v/>
      </c>
      <c r="G1557" s="8">
        <f>IF(F1557="ocorrência","VP",IF(F1557="sem ocorrência","FP",""))</f>
        <v/>
      </c>
      <c r="H1557" s="7" t="n"/>
      <c r="I1557" s="8">
        <f>IF(H1557&lt;&gt;"",H1557,G1557)</f>
        <v/>
      </c>
    </row>
    <row r="1558">
      <c r="A1558" s="9" t="n"/>
      <c r="B1558" s="9" t="n"/>
      <c r="C1558" s="9" t="n"/>
      <c r="D1558" s="9" t="n"/>
      <c r="E1558" s="9" t="n"/>
      <c r="F1558" s="8">
        <f>IF(A1558="","",IFERROR(INDEX(Testes!$N$2:$N$500,MATCH(A1558,Testes!$A$2:$A$500,0)),""))</f>
        <v/>
      </c>
      <c r="G1558" s="8">
        <f>IF(F1558="ocorrência","VP",IF(F1558="sem ocorrência","FP",""))</f>
        <v/>
      </c>
      <c r="H1558" s="7" t="n"/>
      <c r="I1558" s="8">
        <f>IF(H1558&lt;&gt;"",H1558,G1558)</f>
        <v/>
      </c>
    </row>
    <row r="1559">
      <c r="A1559" s="9" t="n"/>
      <c r="B1559" s="9" t="n"/>
      <c r="C1559" s="9" t="n"/>
      <c r="D1559" s="9" t="n"/>
      <c r="E1559" s="9" t="n"/>
      <c r="F1559" s="8">
        <f>IF(A1559="","",IFERROR(INDEX(Testes!$N$2:$N$500,MATCH(A1559,Testes!$A$2:$A$500,0)),""))</f>
        <v/>
      </c>
      <c r="G1559" s="8">
        <f>IF(F1559="ocorrência","VP",IF(F1559="sem ocorrência","FP",""))</f>
        <v/>
      </c>
      <c r="H1559" s="7" t="n"/>
      <c r="I1559" s="8">
        <f>IF(H1559&lt;&gt;"",H1559,G1559)</f>
        <v/>
      </c>
    </row>
    <row r="1560">
      <c r="A1560" s="9" t="n"/>
      <c r="B1560" s="9" t="n"/>
      <c r="C1560" s="9" t="n"/>
      <c r="D1560" s="9" t="n"/>
      <c r="E1560" s="9" t="n"/>
      <c r="F1560" s="8">
        <f>IF(A1560="","",IFERROR(INDEX(Testes!$N$2:$N$500,MATCH(A1560,Testes!$A$2:$A$500,0)),""))</f>
        <v/>
      </c>
      <c r="G1560" s="8">
        <f>IF(F1560="ocorrência","VP",IF(F1560="sem ocorrência","FP",""))</f>
        <v/>
      </c>
      <c r="H1560" s="7" t="n"/>
      <c r="I1560" s="8">
        <f>IF(H1560&lt;&gt;"",H1560,G1560)</f>
        <v/>
      </c>
    </row>
    <row r="1561">
      <c r="A1561" s="9" t="n"/>
      <c r="B1561" s="9" t="n"/>
      <c r="C1561" s="9" t="n"/>
      <c r="D1561" s="9" t="n"/>
      <c r="E1561" s="9" t="n"/>
      <c r="F1561" s="8">
        <f>IF(A1561="","",IFERROR(INDEX(Testes!$N$2:$N$500,MATCH(A1561,Testes!$A$2:$A$500,0)),""))</f>
        <v/>
      </c>
      <c r="G1561" s="8">
        <f>IF(F1561="ocorrência","VP",IF(F1561="sem ocorrência","FP",""))</f>
        <v/>
      </c>
      <c r="H1561" s="7" t="n"/>
      <c r="I1561" s="8">
        <f>IF(H1561&lt;&gt;"",H1561,G1561)</f>
        <v/>
      </c>
    </row>
    <row r="1562">
      <c r="A1562" s="9" t="n"/>
      <c r="B1562" s="9" t="n"/>
      <c r="C1562" s="9" t="n"/>
      <c r="D1562" s="9" t="n"/>
      <c r="E1562" s="9" t="n"/>
      <c r="F1562" s="8">
        <f>IF(A1562="","",IFERROR(INDEX(Testes!$N$2:$N$500,MATCH(A1562,Testes!$A$2:$A$500,0)),""))</f>
        <v/>
      </c>
      <c r="G1562" s="8">
        <f>IF(F1562="ocorrência","VP",IF(F1562="sem ocorrência","FP",""))</f>
        <v/>
      </c>
      <c r="H1562" s="7" t="n"/>
      <c r="I1562" s="8">
        <f>IF(H1562&lt;&gt;"",H1562,G1562)</f>
        <v/>
      </c>
    </row>
    <row r="1563">
      <c r="A1563" s="9" t="n"/>
      <c r="B1563" s="9" t="n"/>
      <c r="C1563" s="9" t="n"/>
      <c r="D1563" s="9" t="n"/>
      <c r="E1563" s="9" t="n"/>
      <c r="F1563" s="8">
        <f>IF(A1563="","",IFERROR(INDEX(Testes!$N$2:$N$500,MATCH(A1563,Testes!$A$2:$A$500,0)),""))</f>
        <v/>
      </c>
      <c r="G1563" s="8">
        <f>IF(F1563="ocorrência","VP",IF(F1563="sem ocorrência","FP",""))</f>
        <v/>
      </c>
      <c r="H1563" s="7" t="n"/>
      <c r="I1563" s="8">
        <f>IF(H1563&lt;&gt;"",H1563,G1563)</f>
        <v/>
      </c>
    </row>
    <row r="1564">
      <c r="A1564" s="9" t="n"/>
      <c r="B1564" s="9" t="n"/>
      <c r="C1564" s="9" t="n"/>
      <c r="D1564" s="9" t="n"/>
      <c r="E1564" s="9" t="n"/>
      <c r="F1564" s="8">
        <f>IF(A1564="","",IFERROR(INDEX(Testes!$N$2:$N$500,MATCH(A1564,Testes!$A$2:$A$500,0)),""))</f>
        <v/>
      </c>
      <c r="G1564" s="8">
        <f>IF(F1564="ocorrência","VP",IF(F1564="sem ocorrência","FP",""))</f>
        <v/>
      </c>
      <c r="H1564" s="7" t="n"/>
      <c r="I1564" s="8">
        <f>IF(H1564&lt;&gt;"",H1564,G1564)</f>
        <v/>
      </c>
    </row>
    <row r="1565">
      <c r="A1565" s="9" t="n"/>
      <c r="B1565" s="9" t="n"/>
      <c r="C1565" s="9" t="n"/>
      <c r="D1565" s="9" t="n"/>
      <c r="E1565" s="9" t="n"/>
      <c r="F1565" s="8">
        <f>IF(A1565="","",IFERROR(INDEX(Testes!$N$2:$N$500,MATCH(A1565,Testes!$A$2:$A$500,0)),""))</f>
        <v/>
      </c>
      <c r="G1565" s="8">
        <f>IF(F1565="ocorrência","VP",IF(F1565="sem ocorrência","FP",""))</f>
        <v/>
      </c>
      <c r="H1565" s="7" t="n"/>
      <c r="I1565" s="8">
        <f>IF(H1565&lt;&gt;"",H1565,G1565)</f>
        <v/>
      </c>
    </row>
    <row r="1566">
      <c r="A1566" s="9" t="n"/>
      <c r="B1566" s="9" t="n"/>
      <c r="C1566" s="9" t="n"/>
      <c r="D1566" s="9" t="n"/>
      <c r="E1566" s="9" t="n"/>
      <c r="F1566" s="8">
        <f>IF(A1566="","",IFERROR(INDEX(Testes!$N$2:$N$500,MATCH(A1566,Testes!$A$2:$A$500,0)),""))</f>
        <v/>
      </c>
      <c r="G1566" s="8">
        <f>IF(F1566="ocorrência","VP",IF(F1566="sem ocorrência","FP",""))</f>
        <v/>
      </c>
      <c r="H1566" s="7" t="n"/>
      <c r="I1566" s="8">
        <f>IF(H1566&lt;&gt;"",H1566,G1566)</f>
        <v/>
      </c>
    </row>
    <row r="1567">
      <c r="A1567" s="9" t="n"/>
      <c r="B1567" s="9" t="n"/>
      <c r="C1567" s="9" t="n"/>
      <c r="D1567" s="9" t="n"/>
      <c r="E1567" s="9" t="n"/>
      <c r="F1567" s="8">
        <f>IF(A1567="","",IFERROR(INDEX(Testes!$N$2:$N$500,MATCH(A1567,Testes!$A$2:$A$500,0)),""))</f>
        <v/>
      </c>
      <c r="G1567" s="8">
        <f>IF(F1567="ocorrência","VP",IF(F1567="sem ocorrência","FP",""))</f>
        <v/>
      </c>
      <c r="H1567" s="7" t="n"/>
      <c r="I1567" s="8">
        <f>IF(H1567&lt;&gt;"",H1567,G1567)</f>
        <v/>
      </c>
    </row>
    <row r="1568">
      <c r="A1568" s="9" t="n"/>
      <c r="B1568" s="9" t="n"/>
      <c r="C1568" s="9" t="n"/>
      <c r="D1568" s="9" t="n"/>
      <c r="E1568" s="9" t="n"/>
      <c r="F1568" s="8">
        <f>IF(A1568="","",IFERROR(INDEX(Testes!$N$2:$N$500,MATCH(A1568,Testes!$A$2:$A$500,0)),""))</f>
        <v/>
      </c>
      <c r="G1568" s="8">
        <f>IF(F1568="ocorrência","VP",IF(F1568="sem ocorrência","FP",""))</f>
        <v/>
      </c>
      <c r="H1568" s="7" t="n"/>
      <c r="I1568" s="8">
        <f>IF(H1568&lt;&gt;"",H1568,G1568)</f>
        <v/>
      </c>
    </row>
    <row r="1569">
      <c r="A1569" s="9" t="n"/>
      <c r="B1569" s="9" t="n"/>
      <c r="C1569" s="9" t="n"/>
      <c r="D1569" s="9" t="n"/>
      <c r="E1569" s="9" t="n"/>
      <c r="F1569" s="8">
        <f>IF(A1569="","",IFERROR(INDEX(Testes!$N$2:$N$500,MATCH(A1569,Testes!$A$2:$A$500,0)),""))</f>
        <v/>
      </c>
      <c r="G1569" s="8">
        <f>IF(F1569="ocorrência","VP",IF(F1569="sem ocorrência","FP",""))</f>
        <v/>
      </c>
      <c r="H1569" s="7" t="n"/>
      <c r="I1569" s="8">
        <f>IF(H1569&lt;&gt;"",H1569,G1569)</f>
        <v/>
      </c>
    </row>
    <row r="1570">
      <c r="A1570" s="9" t="n"/>
      <c r="B1570" s="9" t="n"/>
      <c r="C1570" s="9" t="n"/>
      <c r="D1570" s="9" t="n"/>
      <c r="E1570" s="9" t="n"/>
      <c r="F1570" s="8">
        <f>IF(A1570="","",IFERROR(INDEX(Testes!$N$2:$N$500,MATCH(A1570,Testes!$A$2:$A$500,0)),""))</f>
        <v/>
      </c>
      <c r="G1570" s="8">
        <f>IF(F1570="ocorrência","VP",IF(F1570="sem ocorrência","FP",""))</f>
        <v/>
      </c>
      <c r="H1570" s="7" t="n"/>
      <c r="I1570" s="8">
        <f>IF(H1570&lt;&gt;"",H1570,G1570)</f>
        <v/>
      </c>
    </row>
    <row r="1571">
      <c r="A1571" s="9" t="n"/>
      <c r="B1571" s="9" t="n"/>
      <c r="C1571" s="9" t="n"/>
      <c r="D1571" s="9" t="n"/>
      <c r="E1571" s="9" t="n"/>
      <c r="F1571" s="8">
        <f>IF(A1571="","",IFERROR(INDEX(Testes!$N$2:$N$500,MATCH(A1571,Testes!$A$2:$A$500,0)),""))</f>
        <v/>
      </c>
      <c r="G1571" s="8">
        <f>IF(F1571="ocorrência","VP",IF(F1571="sem ocorrência","FP",""))</f>
        <v/>
      </c>
      <c r="H1571" s="7" t="n"/>
      <c r="I1571" s="8">
        <f>IF(H1571&lt;&gt;"",H1571,G1571)</f>
        <v/>
      </c>
    </row>
    <row r="1572">
      <c r="A1572" s="9" t="n"/>
      <c r="B1572" s="9" t="n"/>
      <c r="C1572" s="9" t="n"/>
      <c r="D1572" s="9" t="n"/>
      <c r="E1572" s="9" t="n"/>
      <c r="F1572" s="8">
        <f>IF(A1572="","",IFERROR(INDEX(Testes!$N$2:$N$500,MATCH(A1572,Testes!$A$2:$A$500,0)),""))</f>
        <v/>
      </c>
      <c r="G1572" s="8">
        <f>IF(F1572="ocorrência","VP",IF(F1572="sem ocorrência","FP",""))</f>
        <v/>
      </c>
      <c r="H1572" s="7" t="n"/>
      <c r="I1572" s="8">
        <f>IF(H1572&lt;&gt;"",H1572,G1572)</f>
        <v/>
      </c>
    </row>
    <row r="1573">
      <c r="A1573" s="9" t="n"/>
      <c r="B1573" s="9" t="n"/>
      <c r="C1573" s="9" t="n"/>
      <c r="D1573" s="9" t="n"/>
      <c r="E1573" s="9" t="n"/>
      <c r="F1573" s="8">
        <f>IF(A1573="","",IFERROR(INDEX(Testes!$N$2:$N$500,MATCH(A1573,Testes!$A$2:$A$500,0)),""))</f>
        <v/>
      </c>
      <c r="G1573" s="8">
        <f>IF(F1573="ocorrência","VP",IF(F1573="sem ocorrência","FP",""))</f>
        <v/>
      </c>
      <c r="H1573" s="7" t="n"/>
      <c r="I1573" s="8">
        <f>IF(H1573&lt;&gt;"",H1573,G1573)</f>
        <v/>
      </c>
    </row>
    <row r="1574">
      <c r="A1574" s="9" t="n"/>
      <c r="B1574" s="9" t="n"/>
      <c r="C1574" s="9" t="n"/>
      <c r="D1574" s="9" t="n"/>
      <c r="E1574" s="9" t="n"/>
      <c r="F1574" s="8">
        <f>IF(A1574="","",IFERROR(INDEX(Testes!$N$2:$N$500,MATCH(A1574,Testes!$A$2:$A$500,0)),""))</f>
        <v/>
      </c>
      <c r="G1574" s="8">
        <f>IF(F1574="ocorrência","VP",IF(F1574="sem ocorrência","FP",""))</f>
        <v/>
      </c>
      <c r="H1574" s="7" t="n"/>
      <c r="I1574" s="8">
        <f>IF(H1574&lt;&gt;"",H1574,G1574)</f>
        <v/>
      </c>
    </row>
    <row r="1575">
      <c r="A1575" s="9" t="n"/>
      <c r="B1575" s="9" t="n"/>
      <c r="C1575" s="9" t="n"/>
      <c r="D1575" s="9" t="n"/>
      <c r="E1575" s="9" t="n"/>
      <c r="F1575" s="8">
        <f>IF(A1575="","",IFERROR(INDEX(Testes!$N$2:$N$500,MATCH(A1575,Testes!$A$2:$A$500,0)),""))</f>
        <v/>
      </c>
      <c r="G1575" s="8">
        <f>IF(F1575="ocorrência","VP",IF(F1575="sem ocorrência","FP",""))</f>
        <v/>
      </c>
      <c r="H1575" s="7" t="n"/>
      <c r="I1575" s="8">
        <f>IF(H1575&lt;&gt;"",H1575,G1575)</f>
        <v/>
      </c>
    </row>
    <row r="1576">
      <c r="A1576" s="9" t="n"/>
      <c r="B1576" s="9" t="n"/>
      <c r="C1576" s="9" t="n"/>
      <c r="D1576" s="9" t="n"/>
      <c r="E1576" s="9" t="n"/>
      <c r="F1576" s="8">
        <f>IF(A1576="","",IFERROR(INDEX(Testes!$N$2:$N$500,MATCH(A1576,Testes!$A$2:$A$500,0)),""))</f>
        <v/>
      </c>
      <c r="G1576" s="8">
        <f>IF(F1576="ocorrência","VP",IF(F1576="sem ocorrência","FP",""))</f>
        <v/>
      </c>
      <c r="H1576" s="7" t="n"/>
      <c r="I1576" s="8">
        <f>IF(H1576&lt;&gt;"",H1576,G1576)</f>
        <v/>
      </c>
    </row>
    <row r="1577">
      <c r="A1577" s="9" t="n"/>
      <c r="B1577" s="9" t="n"/>
      <c r="C1577" s="9" t="n"/>
      <c r="D1577" s="9" t="n"/>
      <c r="E1577" s="9" t="n"/>
      <c r="F1577" s="8">
        <f>IF(A1577="","",IFERROR(INDEX(Testes!$N$2:$N$500,MATCH(A1577,Testes!$A$2:$A$500,0)),""))</f>
        <v/>
      </c>
      <c r="G1577" s="8">
        <f>IF(F1577="ocorrência","VP",IF(F1577="sem ocorrência","FP",""))</f>
        <v/>
      </c>
      <c r="H1577" s="7" t="n"/>
      <c r="I1577" s="8">
        <f>IF(H1577&lt;&gt;"",H1577,G1577)</f>
        <v/>
      </c>
    </row>
    <row r="1578">
      <c r="A1578" s="9" t="n"/>
      <c r="B1578" s="9" t="n"/>
      <c r="C1578" s="9" t="n"/>
      <c r="D1578" s="9" t="n"/>
      <c r="E1578" s="9" t="n"/>
      <c r="F1578" s="8">
        <f>IF(A1578="","",IFERROR(INDEX(Testes!$N$2:$N$500,MATCH(A1578,Testes!$A$2:$A$500,0)),""))</f>
        <v/>
      </c>
      <c r="G1578" s="8">
        <f>IF(F1578="ocorrência","VP",IF(F1578="sem ocorrência","FP",""))</f>
        <v/>
      </c>
      <c r="H1578" s="7" t="n"/>
      <c r="I1578" s="8">
        <f>IF(H1578&lt;&gt;"",H1578,G1578)</f>
        <v/>
      </c>
    </row>
    <row r="1579">
      <c r="A1579" s="9" t="n"/>
      <c r="B1579" s="9" t="n"/>
      <c r="C1579" s="9" t="n"/>
      <c r="D1579" s="9" t="n"/>
      <c r="E1579" s="9" t="n"/>
      <c r="F1579" s="8">
        <f>IF(A1579="","",IFERROR(INDEX(Testes!$N$2:$N$500,MATCH(A1579,Testes!$A$2:$A$500,0)),""))</f>
        <v/>
      </c>
      <c r="G1579" s="8">
        <f>IF(F1579="ocorrência","VP",IF(F1579="sem ocorrência","FP",""))</f>
        <v/>
      </c>
      <c r="H1579" s="7" t="n"/>
      <c r="I1579" s="8">
        <f>IF(H1579&lt;&gt;"",H1579,G1579)</f>
        <v/>
      </c>
    </row>
    <row r="1580">
      <c r="A1580" s="9" t="n"/>
      <c r="B1580" s="9" t="n"/>
      <c r="C1580" s="9" t="n"/>
      <c r="D1580" s="9" t="n"/>
      <c r="E1580" s="9" t="n"/>
      <c r="F1580" s="8">
        <f>IF(A1580="","",IFERROR(INDEX(Testes!$N$2:$N$500,MATCH(A1580,Testes!$A$2:$A$500,0)),""))</f>
        <v/>
      </c>
      <c r="G1580" s="8">
        <f>IF(F1580="ocorrência","VP",IF(F1580="sem ocorrência","FP",""))</f>
        <v/>
      </c>
      <c r="H1580" s="7" t="n"/>
      <c r="I1580" s="8">
        <f>IF(H1580&lt;&gt;"",H1580,G1580)</f>
        <v/>
      </c>
    </row>
    <row r="1581">
      <c r="A1581" s="9" t="n"/>
      <c r="B1581" s="9" t="n"/>
      <c r="C1581" s="9" t="n"/>
      <c r="D1581" s="9" t="n"/>
      <c r="E1581" s="9" t="n"/>
      <c r="F1581" s="8">
        <f>IF(A1581="","",IFERROR(INDEX(Testes!$N$2:$N$500,MATCH(A1581,Testes!$A$2:$A$500,0)),""))</f>
        <v/>
      </c>
      <c r="G1581" s="8">
        <f>IF(F1581="ocorrência","VP",IF(F1581="sem ocorrência","FP",""))</f>
        <v/>
      </c>
      <c r="H1581" s="7" t="n"/>
      <c r="I1581" s="8">
        <f>IF(H1581&lt;&gt;"",H1581,G1581)</f>
        <v/>
      </c>
    </row>
    <row r="1582">
      <c r="A1582" s="9" t="n"/>
      <c r="B1582" s="9" t="n"/>
      <c r="C1582" s="9" t="n"/>
      <c r="D1582" s="9" t="n"/>
      <c r="E1582" s="9" t="n"/>
      <c r="F1582" s="8">
        <f>IF(A1582="","",IFERROR(INDEX(Testes!$N$2:$N$500,MATCH(A1582,Testes!$A$2:$A$500,0)),""))</f>
        <v/>
      </c>
      <c r="G1582" s="8">
        <f>IF(F1582="ocorrência","VP",IF(F1582="sem ocorrência","FP",""))</f>
        <v/>
      </c>
      <c r="H1582" s="7" t="n"/>
      <c r="I1582" s="8">
        <f>IF(H1582&lt;&gt;"",H1582,G1582)</f>
        <v/>
      </c>
    </row>
    <row r="1583">
      <c r="A1583" s="9" t="n"/>
      <c r="B1583" s="9" t="n"/>
      <c r="C1583" s="9" t="n"/>
      <c r="D1583" s="9" t="n"/>
      <c r="E1583" s="9" t="n"/>
      <c r="F1583" s="8">
        <f>IF(A1583="","",IFERROR(INDEX(Testes!$N$2:$N$500,MATCH(A1583,Testes!$A$2:$A$500,0)),""))</f>
        <v/>
      </c>
      <c r="G1583" s="8">
        <f>IF(F1583="ocorrência","VP",IF(F1583="sem ocorrência","FP",""))</f>
        <v/>
      </c>
      <c r="H1583" s="7" t="n"/>
      <c r="I1583" s="8">
        <f>IF(H1583&lt;&gt;"",H1583,G1583)</f>
        <v/>
      </c>
    </row>
    <row r="1584">
      <c r="A1584" s="9" t="n"/>
      <c r="B1584" s="9" t="n"/>
      <c r="C1584" s="9" t="n"/>
      <c r="D1584" s="9" t="n"/>
      <c r="E1584" s="9" t="n"/>
      <c r="F1584" s="8">
        <f>IF(A1584="","",IFERROR(INDEX(Testes!$N$2:$N$500,MATCH(A1584,Testes!$A$2:$A$500,0)),""))</f>
        <v/>
      </c>
      <c r="G1584" s="8">
        <f>IF(F1584="ocorrência","VP",IF(F1584="sem ocorrência","FP",""))</f>
        <v/>
      </c>
      <c r="H1584" s="7" t="n"/>
      <c r="I1584" s="8">
        <f>IF(H1584&lt;&gt;"",H1584,G1584)</f>
        <v/>
      </c>
    </row>
    <row r="1585">
      <c r="A1585" s="9" t="n"/>
      <c r="B1585" s="9" t="n"/>
      <c r="C1585" s="9" t="n"/>
      <c r="D1585" s="9" t="n"/>
      <c r="E1585" s="9" t="n"/>
      <c r="F1585" s="8">
        <f>IF(A1585="","",IFERROR(INDEX(Testes!$N$2:$N$500,MATCH(A1585,Testes!$A$2:$A$500,0)),""))</f>
        <v/>
      </c>
      <c r="G1585" s="8">
        <f>IF(F1585="ocorrência","VP",IF(F1585="sem ocorrência","FP",""))</f>
        <v/>
      </c>
      <c r="H1585" s="7" t="n"/>
      <c r="I1585" s="8">
        <f>IF(H1585&lt;&gt;"",H1585,G1585)</f>
        <v/>
      </c>
    </row>
    <row r="1586">
      <c r="A1586" s="9" t="n"/>
      <c r="B1586" s="9" t="n"/>
      <c r="C1586" s="9" t="n"/>
      <c r="D1586" s="9" t="n"/>
      <c r="E1586" s="9" t="n"/>
      <c r="F1586" s="8">
        <f>IF(A1586="","",IFERROR(INDEX(Testes!$N$2:$N$500,MATCH(A1586,Testes!$A$2:$A$500,0)),""))</f>
        <v/>
      </c>
      <c r="G1586" s="8">
        <f>IF(F1586="ocorrência","VP",IF(F1586="sem ocorrência","FP",""))</f>
        <v/>
      </c>
      <c r="H1586" s="7" t="n"/>
      <c r="I1586" s="8">
        <f>IF(H1586&lt;&gt;"",H1586,G1586)</f>
        <v/>
      </c>
    </row>
    <row r="1587">
      <c r="A1587" s="9" t="n"/>
      <c r="B1587" s="9" t="n"/>
      <c r="C1587" s="9" t="n"/>
      <c r="D1587" s="9" t="n"/>
      <c r="E1587" s="9" t="n"/>
      <c r="F1587" s="8">
        <f>IF(A1587="","",IFERROR(INDEX(Testes!$N$2:$N$500,MATCH(A1587,Testes!$A$2:$A$500,0)),""))</f>
        <v/>
      </c>
      <c r="G1587" s="8">
        <f>IF(F1587="ocorrência","VP",IF(F1587="sem ocorrência","FP",""))</f>
        <v/>
      </c>
      <c r="H1587" s="7" t="n"/>
      <c r="I1587" s="8">
        <f>IF(H1587&lt;&gt;"",H1587,G1587)</f>
        <v/>
      </c>
    </row>
    <row r="1588">
      <c r="A1588" s="9" t="n"/>
      <c r="B1588" s="9" t="n"/>
      <c r="C1588" s="9" t="n"/>
      <c r="D1588" s="9" t="n"/>
      <c r="E1588" s="9" t="n"/>
      <c r="F1588" s="8">
        <f>IF(A1588="","",IFERROR(INDEX(Testes!$N$2:$N$500,MATCH(A1588,Testes!$A$2:$A$500,0)),""))</f>
        <v/>
      </c>
      <c r="G1588" s="8">
        <f>IF(F1588="ocorrência","VP",IF(F1588="sem ocorrência","FP",""))</f>
        <v/>
      </c>
      <c r="H1588" s="7" t="n"/>
      <c r="I1588" s="8">
        <f>IF(H1588&lt;&gt;"",H1588,G1588)</f>
        <v/>
      </c>
    </row>
    <row r="1589">
      <c r="A1589" s="9" t="n"/>
      <c r="B1589" s="9" t="n"/>
      <c r="C1589" s="9" t="n"/>
      <c r="D1589" s="9" t="n"/>
      <c r="E1589" s="9" t="n"/>
      <c r="F1589" s="8">
        <f>IF(A1589="","",IFERROR(INDEX(Testes!$N$2:$N$500,MATCH(A1589,Testes!$A$2:$A$500,0)),""))</f>
        <v/>
      </c>
      <c r="G1589" s="8">
        <f>IF(F1589="ocorrência","VP",IF(F1589="sem ocorrência","FP",""))</f>
        <v/>
      </c>
      <c r="H1589" s="7" t="n"/>
      <c r="I1589" s="8">
        <f>IF(H1589&lt;&gt;"",H1589,G1589)</f>
        <v/>
      </c>
    </row>
    <row r="1590">
      <c r="A1590" s="9" t="n"/>
      <c r="B1590" s="9" t="n"/>
      <c r="C1590" s="9" t="n"/>
      <c r="D1590" s="9" t="n"/>
      <c r="E1590" s="9" t="n"/>
      <c r="F1590" s="8">
        <f>IF(A1590="","",IFERROR(INDEX(Testes!$N$2:$N$500,MATCH(A1590,Testes!$A$2:$A$500,0)),""))</f>
        <v/>
      </c>
      <c r="G1590" s="8">
        <f>IF(F1590="ocorrência","VP",IF(F1590="sem ocorrência","FP",""))</f>
        <v/>
      </c>
      <c r="H1590" s="7" t="n"/>
      <c r="I1590" s="8">
        <f>IF(H1590&lt;&gt;"",H1590,G1590)</f>
        <v/>
      </c>
    </row>
    <row r="1591">
      <c r="A1591" s="9" t="n"/>
      <c r="B1591" s="9" t="n"/>
      <c r="C1591" s="9" t="n"/>
      <c r="D1591" s="9" t="n"/>
      <c r="E1591" s="9" t="n"/>
      <c r="F1591" s="8">
        <f>IF(A1591="","",IFERROR(INDEX(Testes!$N$2:$N$500,MATCH(A1591,Testes!$A$2:$A$500,0)),""))</f>
        <v/>
      </c>
      <c r="G1591" s="8">
        <f>IF(F1591="ocorrência","VP",IF(F1591="sem ocorrência","FP",""))</f>
        <v/>
      </c>
      <c r="H1591" s="7" t="n"/>
      <c r="I1591" s="8">
        <f>IF(H1591&lt;&gt;"",H1591,G1591)</f>
        <v/>
      </c>
    </row>
    <row r="1592">
      <c r="A1592" s="9" t="n"/>
      <c r="B1592" s="9" t="n"/>
      <c r="C1592" s="9" t="n"/>
      <c r="D1592" s="9" t="n"/>
      <c r="E1592" s="9" t="n"/>
      <c r="F1592" s="8">
        <f>IF(A1592="","",IFERROR(INDEX(Testes!$N$2:$N$500,MATCH(A1592,Testes!$A$2:$A$500,0)),""))</f>
        <v/>
      </c>
      <c r="G1592" s="8">
        <f>IF(F1592="ocorrência","VP",IF(F1592="sem ocorrência","FP",""))</f>
        <v/>
      </c>
      <c r="H1592" s="7" t="n"/>
      <c r="I1592" s="8">
        <f>IF(H1592&lt;&gt;"",H1592,G1592)</f>
        <v/>
      </c>
    </row>
    <row r="1593">
      <c r="A1593" s="9" t="n"/>
      <c r="B1593" s="9" t="n"/>
      <c r="C1593" s="9" t="n"/>
      <c r="D1593" s="9" t="n"/>
      <c r="E1593" s="9" t="n"/>
      <c r="F1593" s="8">
        <f>IF(A1593="","",IFERROR(INDEX(Testes!$N$2:$N$500,MATCH(A1593,Testes!$A$2:$A$500,0)),""))</f>
        <v/>
      </c>
      <c r="G1593" s="8">
        <f>IF(F1593="ocorrência","VP",IF(F1593="sem ocorrência","FP",""))</f>
        <v/>
      </c>
      <c r="H1593" s="7" t="n"/>
      <c r="I1593" s="8">
        <f>IF(H1593&lt;&gt;"",H1593,G1593)</f>
        <v/>
      </c>
    </row>
    <row r="1594">
      <c r="A1594" s="9" t="n"/>
      <c r="B1594" s="9" t="n"/>
      <c r="C1594" s="9" t="n"/>
      <c r="D1594" s="9" t="n"/>
      <c r="E1594" s="9" t="n"/>
      <c r="F1594" s="8">
        <f>IF(A1594="","",IFERROR(INDEX(Testes!$N$2:$N$500,MATCH(A1594,Testes!$A$2:$A$500,0)),""))</f>
        <v/>
      </c>
      <c r="G1594" s="8">
        <f>IF(F1594="ocorrência","VP",IF(F1594="sem ocorrência","FP",""))</f>
        <v/>
      </c>
      <c r="H1594" s="7" t="n"/>
      <c r="I1594" s="8">
        <f>IF(H1594&lt;&gt;"",H1594,G1594)</f>
        <v/>
      </c>
    </row>
    <row r="1595">
      <c r="A1595" s="9" t="n"/>
      <c r="B1595" s="9" t="n"/>
      <c r="C1595" s="9" t="n"/>
      <c r="D1595" s="9" t="n"/>
      <c r="E1595" s="9" t="n"/>
      <c r="F1595" s="8">
        <f>IF(A1595="","",IFERROR(INDEX(Testes!$N$2:$N$500,MATCH(A1595,Testes!$A$2:$A$500,0)),""))</f>
        <v/>
      </c>
      <c r="G1595" s="8">
        <f>IF(F1595="ocorrência","VP",IF(F1595="sem ocorrência","FP",""))</f>
        <v/>
      </c>
      <c r="H1595" s="7" t="n"/>
      <c r="I1595" s="8">
        <f>IF(H1595&lt;&gt;"",H1595,G1595)</f>
        <v/>
      </c>
    </row>
    <row r="1596">
      <c r="A1596" s="9" t="n"/>
      <c r="B1596" s="9" t="n"/>
      <c r="C1596" s="9" t="n"/>
      <c r="D1596" s="9" t="n"/>
      <c r="E1596" s="9" t="n"/>
      <c r="F1596" s="8">
        <f>IF(A1596="","",IFERROR(INDEX(Testes!$N$2:$N$500,MATCH(A1596,Testes!$A$2:$A$500,0)),""))</f>
        <v/>
      </c>
      <c r="G1596" s="8">
        <f>IF(F1596="ocorrência","VP",IF(F1596="sem ocorrência","FP",""))</f>
        <v/>
      </c>
      <c r="H1596" s="7" t="n"/>
      <c r="I1596" s="8">
        <f>IF(H1596&lt;&gt;"",H1596,G1596)</f>
        <v/>
      </c>
    </row>
    <row r="1597">
      <c r="A1597" s="9" t="n"/>
      <c r="B1597" s="9" t="n"/>
      <c r="C1597" s="9" t="n"/>
      <c r="D1597" s="9" t="n"/>
      <c r="E1597" s="9" t="n"/>
      <c r="F1597" s="8">
        <f>IF(A1597="","",IFERROR(INDEX(Testes!$N$2:$N$500,MATCH(A1597,Testes!$A$2:$A$500,0)),""))</f>
        <v/>
      </c>
      <c r="G1597" s="8">
        <f>IF(F1597="ocorrência","VP",IF(F1597="sem ocorrência","FP",""))</f>
        <v/>
      </c>
      <c r="H1597" s="7" t="n"/>
      <c r="I1597" s="8">
        <f>IF(H1597&lt;&gt;"",H1597,G1597)</f>
        <v/>
      </c>
    </row>
    <row r="1598">
      <c r="A1598" s="9" t="n"/>
      <c r="B1598" s="9" t="n"/>
      <c r="C1598" s="9" t="n"/>
      <c r="D1598" s="9" t="n"/>
      <c r="E1598" s="9" t="n"/>
      <c r="F1598" s="8">
        <f>IF(A1598="","",IFERROR(INDEX(Testes!$N$2:$N$500,MATCH(A1598,Testes!$A$2:$A$500,0)),""))</f>
        <v/>
      </c>
      <c r="G1598" s="8">
        <f>IF(F1598="ocorrência","VP",IF(F1598="sem ocorrência","FP",""))</f>
        <v/>
      </c>
      <c r="H1598" s="7" t="n"/>
      <c r="I1598" s="8">
        <f>IF(H1598&lt;&gt;"",H1598,G1598)</f>
        <v/>
      </c>
    </row>
    <row r="1599">
      <c r="A1599" s="9" t="n"/>
      <c r="B1599" s="9" t="n"/>
      <c r="C1599" s="9" t="n"/>
      <c r="D1599" s="9" t="n"/>
      <c r="E1599" s="9" t="n"/>
      <c r="F1599" s="8">
        <f>IF(A1599="","",IFERROR(INDEX(Testes!$N$2:$N$500,MATCH(A1599,Testes!$A$2:$A$500,0)),""))</f>
        <v/>
      </c>
      <c r="G1599" s="8">
        <f>IF(F1599="ocorrência","VP",IF(F1599="sem ocorrência","FP",""))</f>
        <v/>
      </c>
      <c r="H1599" s="7" t="n"/>
      <c r="I1599" s="8">
        <f>IF(H1599&lt;&gt;"",H1599,G1599)</f>
        <v/>
      </c>
    </row>
    <row r="1600">
      <c r="A1600" s="9" t="n"/>
      <c r="B1600" s="9" t="n"/>
      <c r="C1600" s="9" t="n"/>
      <c r="D1600" s="9" t="n"/>
      <c r="E1600" s="9" t="n"/>
      <c r="F1600" s="8">
        <f>IF(A1600="","",IFERROR(INDEX(Testes!$N$2:$N$500,MATCH(A1600,Testes!$A$2:$A$500,0)),""))</f>
        <v/>
      </c>
      <c r="G1600" s="8">
        <f>IF(F1600="ocorrência","VP",IF(F1600="sem ocorrência","FP",""))</f>
        <v/>
      </c>
      <c r="H1600" s="7" t="n"/>
      <c r="I1600" s="8">
        <f>IF(H1600&lt;&gt;"",H1600,G1600)</f>
        <v/>
      </c>
    </row>
    <row r="1601">
      <c r="A1601" s="9" t="n"/>
      <c r="B1601" s="9" t="n"/>
      <c r="C1601" s="9" t="n"/>
      <c r="D1601" s="9" t="n"/>
      <c r="E1601" s="9" t="n"/>
      <c r="F1601" s="8">
        <f>IF(A1601="","",IFERROR(INDEX(Testes!$N$2:$N$500,MATCH(A1601,Testes!$A$2:$A$500,0)),""))</f>
        <v/>
      </c>
      <c r="G1601" s="8">
        <f>IF(F1601="ocorrência","VP",IF(F1601="sem ocorrência","FP",""))</f>
        <v/>
      </c>
      <c r="H1601" s="7" t="n"/>
      <c r="I1601" s="8">
        <f>IF(H1601&lt;&gt;"",H1601,G1601)</f>
        <v/>
      </c>
    </row>
    <row r="1602">
      <c r="A1602" s="9" t="n"/>
      <c r="B1602" s="9" t="n"/>
      <c r="C1602" s="9" t="n"/>
      <c r="D1602" s="9" t="n"/>
      <c r="E1602" s="9" t="n"/>
      <c r="F1602" s="8">
        <f>IF(A1602="","",IFERROR(INDEX(Testes!$N$2:$N$500,MATCH(A1602,Testes!$A$2:$A$500,0)),""))</f>
        <v/>
      </c>
      <c r="G1602" s="8">
        <f>IF(F1602="ocorrência","VP",IF(F1602="sem ocorrência","FP",""))</f>
        <v/>
      </c>
      <c r="H1602" s="7" t="n"/>
      <c r="I1602" s="8">
        <f>IF(H1602&lt;&gt;"",H1602,G1602)</f>
        <v/>
      </c>
    </row>
    <row r="1603">
      <c r="A1603" s="9" t="n"/>
      <c r="B1603" s="9" t="n"/>
      <c r="C1603" s="9" t="n"/>
      <c r="D1603" s="9" t="n"/>
      <c r="E1603" s="9" t="n"/>
      <c r="F1603" s="8">
        <f>IF(A1603="","",IFERROR(INDEX(Testes!$N$2:$N$500,MATCH(A1603,Testes!$A$2:$A$500,0)),""))</f>
        <v/>
      </c>
      <c r="G1603" s="8">
        <f>IF(F1603="ocorrência","VP",IF(F1603="sem ocorrência","FP",""))</f>
        <v/>
      </c>
      <c r="H1603" s="7" t="n"/>
      <c r="I1603" s="8">
        <f>IF(H1603&lt;&gt;"",H1603,G1603)</f>
        <v/>
      </c>
    </row>
    <row r="1604">
      <c r="A1604" s="9" t="n"/>
      <c r="B1604" s="9" t="n"/>
      <c r="C1604" s="9" t="n"/>
      <c r="D1604" s="9" t="n"/>
      <c r="E1604" s="9" t="n"/>
      <c r="F1604" s="8">
        <f>IF(A1604="","",IFERROR(INDEX(Testes!$N$2:$N$500,MATCH(A1604,Testes!$A$2:$A$500,0)),""))</f>
        <v/>
      </c>
      <c r="G1604" s="8">
        <f>IF(F1604="ocorrência","VP",IF(F1604="sem ocorrência","FP",""))</f>
        <v/>
      </c>
      <c r="H1604" s="7" t="n"/>
      <c r="I1604" s="8">
        <f>IF(H1604&lt;&gt;"",H1604,G1604)</f>
        <v/>
      </c>
    </row>
    <row r="1605">
      <c r="A1605" s="9" t="n"/>
      <c r="B1605" s="9" t="n"/>
      <c r="C1605" s="9" t="n"/>
      <c r="D1605" s="9" t="n"/>
      <c r="E1605" s="9" t="n"/>
      <c r="F1605" s="8">
        <f>IF(A1605="","",IFERROR(INDEX(Testes!$N$2:$N$500,MATCH(A1605,Testes!$A$2:$A$500,0)),""))</f>
        <v/>
      </c>
      <c r="G1605" s="8">
        <f>IF(F1605="ocorrência","VP",IF(F1605="sem ocorrência","FP",""))</f>
        <v/>
      </c>
      <c r="H1605" s="7" t="n"/>
      <c r="I1605" s="8">
        <f>IF(H1605&lt;&gt;"",H1605,G1605)</f>
        <v/>
      </c>
    </row>
    <row r="1606">
      <c r="A1606" s="9" t="n"/>
      <c r="B1606" s="9" t="n"/>
      <c r="C1606" s="9" t="n"/>
      <c r="D1606" s="9" t="n"/>
      <c r="E1606" s="9" t="n"/>
      <c r="F1606" s="8">
        <f>IF(A1606="","",IFERROR(INDEX(Testes!$N$2:$N$500,MATCH(A1606,Testes!$A$2:$A$500,0)),""))</f>
        <v/>
      </c>
      <c r="G1606" s="8">
        <f>IF(F1606="ocorrência","VP",IF(F1606="sem ocorrência","FP",""))</f>
        <v/>
      </c>
      <c r="H1606" s="7" t="n"/>
      <c r="I1606" s="8">
        <f>IF(H1606&lt;&gt;"",H1606,G1606)</f>
        <v/>
      </c>
    </row>
    <row r="1607">
      <c r="A1607" s="9" t="n"/>
      <c r="B1607" s="9" t="n"/>
      <c r="C1607" s="9" t="n"/>
      <c r="D1607" s="9" t="n"/>
      <c r="E1607" s="9" t="n"/>
      <c r="F1607" s="8">
        <f>IF(A1607="","",IFERROR(INDEX(Testes!$N$2:$N$500,MATCH(A1607,Testes!$A$2:$A$500,0)),""))</f>
        <v/>
      </c>
      <c r="G1607" s="8">
        <f>IF(F1607="ocorrência","VP",IF(F1607="sem ocorrência","FP",""))</f>
        <v/>
      </c>
      <c r="H1607" s="7" t="n"/>
      <c r="I1607" s="8">
        <f>IF(H1607&lt;&gt;"",H1607,G1607)</f>
        <v/>
      </c>
    </row>
    <row r="1608">
      <c r="A1608" s="9" t="n"/>
      <c r="B1608" s="9" t="n"/>
      <c r="C1608" s="9" t="n"/>
      <c r="D1608" s="9" t="n"/>
      <c r="E1608" s="9" t="n"/>
      <c r="F1608" s="8">
        <f>IF(A1608="","",IFERROR(INDEX(Testes!$N$2:$N$500,MATCH(A1608,Testes!$A$2:$A$500,0)),""))</f>
        <v/>
      </c>
      <c r="G1608" s="8">
        <f>IF(F1608="ocorrência","VP",IF(F1608="sem ocorrência","FP",""))</f>
        <v/>
      </c>
      <c r="H1608" s="7" t="n"/>
      <c r="I1608" s="8">
        <f>IF(H1608&lt;&gt;"",H1608,G1608)</f>
        <v/>
      </c>
    </row>
    <row r="1609">
      <c r="A1609" s="9" t="n"/>
      <c r="B1609" s="9" t="n"/>
      <c r="C1609" s="9" t="n"/>
      <c r="D1609" s="9" t="n"/>
      <c r="E1609" s="9" t="n"/>
      <c r="F1609" s="8">
        <f>IF(A1609="","",IFERROR(INDEX(Testes!$N$2:$N$500,MATCH(A1609,Testes!$A$2:$A$500,0)),""))</f>
        <v/>
      </c>
      <c r="G1609" s="8">
        <f>IF(F1609="ocorrência","VP",IF(F1609="sem ocorrência","FP",""))</f>
        <v/>
      </c>
      <c r="H1609" s="7" t="n"/>
      <c r="I1609" s="8">
        <f>IF(H1609&lt;&gt;"",H1609,G1609)</f>
        <v/>
      </c>
    </row>
    <row r="1610">
      <c r="A1610" s="9" t="n"/>
      <c r="B1610" s="9" t="n"/>
      <c r="C1610" s="9" t="n"/>
      <c r="D1610" s="9" t="n"/>
      <c r="E1610" s="9" t="n"/>
      <c r="F1610" s="8">
        <f>IF(A1610="","",IFERROR(INDEX(Testes!$N$2:$N$500,MATCH(A1610,Testes!$A$2:$A$500,0)),""))</f>
        <v/>
      </c>
      <c r="G1610" s="8">
        <f>IF(F1610="ocorrência","VP",IF(F1610="sem ocorrência","FP",""))</f>
        <v/>
      </c>
      <c r="H1610" s="7" t="n"/>
      <c r="I1610" s="8">
        <f>IF(H1610&lt;&gt;"",H1610,G1610)</f>
        <v/>
      </c>
    </row>
    <row r="1611">
      <c r="A1611" s="9" t="n"/>
      <c r="B1611" s="9" t="n"/>
      <c r="C1611" s="9" t="n"/>
      <c r="D1611" s="9" t="n"/>
      <c r="E1611" s="9" t="n"/>
      <c r="F1611" s="8">
        <f>IF(A1611="","",IFERROR(INDEX(Testes!$N$2:$N$500,MATCH(A1611,Testes!$A$2:$A$500,0)),""))</f>
        <v/>
      </c>
      <c r="G1611" s="8">
        <f>IF(F1611="ocorrência","VP",IF(F1611="sem ocorrência","FP",""))</f>
        <v/>
      </c>
      <c r="H1611" s="7" t="n"/>
      <c r="I1611" s="8">
        <f>IF(H1611&lt;&gt;"",H1611,G1611)</f>
        <v/>
      </c>
    </row>
    <row r="1612">
      <c r="A1612" s="9" t="n"/>
      <c r="B1612" s="9" t="n"/>
      <c r="C1612" s="9" t="n"/>
      <c r="D1612" s="9" t="n"/>
      <c r="E1612" s="9" t="n"/>
      <c r="F1612" s="8">
        <f>IF(A1612="","",IFERROR(INDEX(Testes!$N$2:$N$500,MATCH(A1612,Testes!$A$2:$A$500,0)),""))</f>
        <v/>
      </c>
      <c r="G1612" s="8">
        <f>IF(F1612="ocorrência","VP",IF(F1612="sem ocorrência","FP",""))</f>
        <v/>
      </c>
      <c r="H1612" s="7" t="n"/>
      <c r="I1612" s="8">
        <f>IF(H1612&lt;&gt;"",H1612,G1612)</f>
        <v/>
      </c>
    </row>
    <row r="1613">
      <c r="A1613" s="9" t="n"/>
      <c r="B1613" s="9" t="n"/>
      <c r="C1613" s="9" t="n"/>
      <c r="D1613" s="9" t="n"/>
      <c r="E1613" s="9" t="n"/>
      <c r="F1613" s="8">
        <f>IF(A1613="","",IFERROR(INDEX(Testes!$N$2:$N$500,MATCH(A1613,Testes!$A$2:$A$500,0)),""))</f>
        <v/>
      </c>
      <c r="G1613" s="8">
        <f>IF(F1613="ocorrência","VP",IF(F1613="sem ocorrência","FP",""))</f>
        <v/>
      </c>
      <c r="H1613" s="7" t="n"/>
      <c r="I1613" s="8">
        <f>IF(H1613&lt;&gt;"",H1613,G1613)</f>
        <v/>
      </c>
    </row>
    <row r="1614">
      <c r="A1614" s="9" t="n"/>
      <c r="B1614" s="9" t="n"/>
      <c r="C1614" s="9" t="n"/>
      <c r="D1614" s="9" t="n"/>
      <c r="E1614" s="9" t="n"/>
      <c r="F1614" s="8">
        <f>IF(A1614="","",IFERROR(INDEX(Testes!$N$2:$N$500,MATCH(A1614,Testes!$A$2:$A$500,0)),""))</f>
        <v/>
      </c>
      <c r="G1614" s="8">
        <f>IF(F1614="ocorrência","VP",IF(F1614="sem ocorrência","FP",""))</f>
        <v/>
      </c>
      <c r="H1614" s="7" t="n"/>
      <c r="I1614" s="8">
        <f>IF(H1614&lt;&gt;"",H1614,G1614)</f>
        <v/>
      </c>
    </row>
    <row r="1615">
      <c r="A1615" s="9" t="n"/>
      <c r="B1615" s="9" t="n"/>
      <c r="C1615" s="9" t="n"/>
      <c r="D1615" s="9" t="n"/>
      <c r="E1615" s="9" t="n"/>
      <c r="F1615" s="8">
        <f>IF(A1615="","",IFERROR(INDEX(Testes!$N$2:$N$500,MATCH(A1615,Testes!$A$2:$A$500,0)),""))</f>
        <v/>
      </c>
      <c r="G1615" s="8">
        <f>IF(F1615="ocorrência","VP",IF(F1615="sem ocorrência","FP",""))</f>
        <v/>
      </c>
      <c r="H1615" s="7" t="n"/>
      <c r="I1615" s="8">
        <f>IF(H1615&lt;&gt;"",H1615,G1615)</f>
        <v/>
      </c>
    </row>
    <row r="1616">
      <c r="A1616" s="9" t="n"/>
      <c r="B1616" s="9" t="n"/>
      <c r="C1616" s="9" t="n"/>
      <c r="D1616" s="9" t="n"/>
      <c r="E1616" s="9" t="n"/>
      <c r="F1616" s="8">
        <f>IF(A1616="","",IFERROR(INDEX(Testes!$N$2:$N$500,MATCH(A1616,Testes!$A$2:$A$500,0)),""))</f>
        <v/>
      </c>
      <c r="G1616" s="8">
        <f>IF(F1616="ocorrência","VP",IF(F1616="sem ocorrência","FP",""))</f>
        <v/>
      </c>
      <c r="H1616" s="7" t="n"/>
      <c r="I1616" s="8">
        <f>IF(H1616&lt;&gt;"",H1616,G1616)</f>
        <v/>
      </c>
    </row>
    <row r="1617">
      <c r="A1617" s="9" t="n"/>
      <c r="B1617" s="9" t="n"/>
      <c r="C1617" s="9" t="n"/>
      <c r="D1617" s="9" t="n"/>
      <c r="E1617" s="9" t="n"/>
      <c r="F1617" s="8">
        <f>IF(A1617="","",IFERROR(INDEX(Testes!$N$2:$N$500,MATCH(A1617,Testes!$A$2:$A$500,0)),""))</f>
        <v/>
      </c>
      <c r="G1617" s="8">
        <f>IF(F1617="ocorrência","VP",IF(F1617="sem ocorrência","FP",""))</f>
        <v/>
      </c>
      <c r="H1617" s="7" t="n"/>
      <c r="I1617" s="8">
        <f>IF(H1617&lt;&gt;"",H1617,G1617)</f>
        <v/>
      </c>
    </row>
    <row r="1618">
      <c r="A1618" s="9" t="n"/>
      <c r="B1618" s="9" t="n"/>
      <c r="C1618" s="9" t="n"/>
      <c r="D1618" s="9" t="n"/>
      <c r="E1618" s="9" t="n"/>
      <c r="F1618" s="8">
        <f>IF(A1618="","",IFERROR(INDEX(Testes!$N$2:$N$500,MATCH(A1618,Testes!$A$2:$A$500,0)),""))</f>
        <v/>
      </c>
      <c r="G1618" s="8">
        <f>IF(F1618="ocorrência","VP",IF(F1618="sem ocorrência","FP",""))</f>
        <v/>
      </c>
      <c r="H1618" s="7" t="n"/>
      <c r="I1618" s="8">
        <f>IF(H1618&lt;&gt;"",H1618,G1618)</f>
        <v/>
      </c>
    </row>
    <row r="1619">
      <c r="A1619" s="9" t="n"/>
      <c r="B1619" s="9" t="n"/>
      <c r="C1619" s="9" t="n"/>
      <c r="D1619" s="9" t="n"/>
      <c r="E1619" s="9" t="n"/>
      <c r="F1619" s="8">
        <f>IF(A1619="","",IFERROR(INDEX(Testes!$N$2:$N$500,MATCH(A1619,Testes!$A$2:$A$500,0)),""))</f>
        <v/>
      </c>
      <c r="G1619" s="8">
        <f>IF(F1619="ocorrência","VP",IF(F1619="sem ocorrência","FP",""))</f>
        <v/>
      </c>
      <c r="H1619" s="7" t="n"/>
      <c r="I1619" s="8">
        <f>IF(H1619&lt;&gt;"",H1619,G1619)</f>
        <v/>
      </c>
    </row>
    <row r="1620">
      <c r="A1620" s="9" t="n"/>
      <c r="B1620" s="9" t="n"/>
      <c r="C1620" s="9" t="n"/>
      <c r="D1620" s="9" t="n"/>
      <c r="E1620" s="9" t="n"/>
      <c r="F1620" s="8">
        <f>IF(A1620="","",IFERROR(INDEX(Testes!$N$2:$N$500,MATCH(A1620,Testes!$A$2:$A$500,0)),""))</f>
        <v/>
      </c>
      <c r="G1620" s="8">
        <f>IF(F1620="ocorrência","VP",IF(F1620="sem ocorrência","FP",""))</f>
        <v/>
      </c>
      <c r="H1620" s="7" t="n"/>
      <c r="I1620" s="8">
        <f>IF(H1620&lt;&gt;"",H1620,G1620)</f>
        <v/>
      </c>
    </row>
    <row r="1621">
      <c r="A1621" s="9" t="n"/>
      <c r="B1621" s="9" t="n"/>
      <c r="C1621" s="9" t="n"/>
      <c r="D1621" s="9" t="n"/>
      <c r="E1621" s="9" t="n"/>
      <c r="F1621" s="8">
        <f>IF(A1621="","",IFERROR(INDEX(Testes!$N$2:$N$500,MATCH(A1621,Testes!$A$2:$A$500,0)),""))</f>
        <v/>
      </c>
      <c r="G1621" s="8">
        <f>IF(F1621="ocorrência","VP",IF(F1621="sem ocorrência","FP",""))</f>
        <v/>
      </c>
      <c r="H1621" s="7" t="n"/>
      <c r="I1621" s="8">
        <f>IF(H1621&lt;&gt;"",H1621,G1621)</f>
        <v/>
      </c>
    </row>
    <row r="1622">
      <c r="A1622" s="9" t="n"/>
      <c r="B1622" s="9" t="n"/>
      <c r="C1622" s="9" t="n"/>
      <c r="D1622" s="9" t="n"/>
      <c r="E1622" s="9" t="n"/>
      <c r="F1622" s="8">
        <f>IF(A1622="","",IFERROR(INDEX(Testes!$N$2:$N$500,MATCH(A1622,Testes!$A$2:$A$500,0)),""))</f>
        <v/>
      </c>
      <c r="G1622" s="8">
        <f>IF(F1622="ocorrência","VP",IF(F1622="sem ocorrência","FP",""))</f>
        <v/>
      </c>
      <c r="H1622" s="7" t="n"/>
      <c r="I1622" s="8">
        <f>IF(H1622&lt;&gt;"",H1622,G1622)</f>
        <v/>
      </c>
    </row>
    <row r="1623">
      <c r="A1623" s="9" t="n"/>
      <c r="B1623" s="9" t="n"/>
      <c r="C1623" s="9" t="n"/>
      <c r="D1623" s="9" t="n"/>
      <c r="E1623" s="9" t="n"/>
      <c r="F1623" s="8">
        <f>IF(A1623="","",IFERROR(INDEX(Testes!$N$2:$N$500,MATCH(A1623,Testes!$A$2:$A$500,0)),""))</f>
        <v/>
      </c>
      <c r="G1623" s="8">
        <f>IF(F1623="ocorrência","VP",IF(F1623="sem ocorrência","FP",""))</f>
        <v/>
      </c>
      <c r="H1623" s="7" t="n"/>
      <c r="I1623" s="8">
        <f>IF(H1623&lt;&gt;"",H1623,G1623)</f>
        <v/>
      </c>
    </row>
    <row r="1624">
      <c r="A1624" s="9" t="n"/>
      <c r="B1624" s="9" t="n"/>
      <c r="C1624" s="9" t="n"/>
      <c r="D1624" s="9" t="n"/>
      <c r="E1624" s="9" t="n"/>
      <c r="F1624" s="8">
        <f>IF(A1624="","",IFERROR(INDEX(Testes!$N$2:$N$500,MATCH(A1624,Testes!$A$2:$A$500,0)),""))</f>
        <v/>
      </c>
      <c r="G1624" s="8">
        <f>IF(F1624="ocorrência","VP",IF(F1624="sem ocorrência","FP",""))</f>
        <v/>
      </c>
      <c r="H1624" s="7" t="n"/>
      <c r="I1624" s="8">
        <f>IF(H1624&lt;&gt;"",H1624,G1624)</f>
        <v/>
      </c>
    </row>
    <row r="1625">
      <c r="A1625" s="9" t="n"/>
      <c r="B1625" s="9" t="n"/>
      <c r="C1625" s="9" t="n"/>
      <c r="D1625" s="9" t="n"/>
      <c r="E1625" s="9" t="n"/>
      <c r="F1625" s="8">
        <f>IF(A1625="","",IFERROR(INDEX(Testes!$N$2:$N$500,MATCH(A1625,Testes!$A$2:$A$500,0)),""))</f>
        <v/>
      </c>
      <c r="G1625" s="8">
        <f>IF(F1625="ocorrência","VP",IF(F1625="sem ocorrência","FP",""))</f>
        <v/>
      </c>
      <c r="H1625" s="7" t="n"/>
      <c r="I1625" s="8">
        <f>IF(H1625&lt;&gt;"",H1625,G1625)</f>
        <v/>
      </c>
    </row>
    <row r="1626">
      <c r="A1626" s="9" t="n"/>
      <c r="B1626" s="9" t="n"/>
      <c r="C1626" s="9" t="n"/>
      <c r="D1626" s="9" t="n"/>
      <c r="E1626" s="9" t="n"/>
      <c r="F1626" s="8">
        <f>IF(A1626="","",IFERROR(INDEX(Testes!$N$2:$N$500,MATCH(A1626,Testes!$A$2:$A$500,0)),""))</f>
        <v/>
      </c>
      <c r="G1626" s="8">
        <f>IF(F1626="ocorrência","VP",IF(F1626="sem ocorrência","FP",""))</f>
        <v/>
      </c>
      <c r="H1626" s="7" t="n"/>
      <c r="I1626" s="8">
        <f>IF(H1626&lt;&gt;"",H1626,G1626)</f>
        <v/>
      </c>
    </row>
    <row r="1627">
      <c r="A1627" s="9" t="n"/>
      <c r="B1627" s="9" t="n"/>
      <c r="C1627" s="9" t="n"/>
      <c r="D1627" s="9" t="n"/>
      <c r="E1627" s="9" t="n"/>
      <c r="F1627" s="8">
        <f>IF(A1627="","",IFERROR(INDEX(Testes!$N$2:$N$500,MATCH(A1627,Testes!$A$2:$A$500,0)),""))</f>
        <v/>
      </c>
      <c r="G1627" s="8">
        <f>IF(F1627="ocorrência","VP",IF(F1627="sem ocorrência","FP",""))</f>
        <v/>
      </c>
      <c r="H1627" s="7" t="n"/>
      <c r="I1627" s="8">
        <f>IF(H1627&lt;&gt;"",H1627,G1627)</f>
        <v/>
      </c>
    </row>
    <row r="1628">
      <c r="A1628" s="9" t="n"/>
      <c r="B1628" s="9" t="n"/>
      <c r="C1628" s="9" t="n"/>
      <c r="D1628" s="9" t="n"/>
      <c r="E1628" s="9" t="n"/>
      <c r="F1628" s="8">
        <f>IF(A1628="","",IFERROR(INDEX(Testes!$N$2:$N$500,MATCH(A1628,Testes!$A$2:$A$500,0)),""))</f>
        <v/>
      </c>
      <c r="G1628" s="8">
        <f>IF(F1628="ocorrência","VP",IF(F1628="sem ocorrência","FP",""))</f>
        <v/>
      </c>
      <c r="H1628" s="7" t="n"/>
      <c r="I1628" s="8">
        <f>IF(H1628&lt;&gt;"",H1628,G1628)</f>
        <v/>
      </c>
    </row>
    <row r="1629">
      <c r="A1629" s="9" t="n"/>
      <c r="B1629" s="9" t="n"/>
      <c r="C1629" s="9" t="n"/>
      <c r="D1629" s="9" t="n"/>
      <c r="E1629" s="9" t="n"/>
      <c r="F1629" s="8">
        <f>IF(A1629="","",IFERROR(INDEX(Testes!$N$2:$N$500,MATCH(A1629,Testes!$A$2:$A$500,0)),""))</f>
        <v/>
      </c>
      <c r="G1629" s="8">
        <f>IF(F1629="ocorrência","VP",IF(F1629="sem ocorrência","FP",""))</f>
        <v/>
      </c>
      <c r="H1629" s="7" t="n"/>
      <c r="I1629" s="8">
        <f>IF(H1629&lt;&gt;"",H1629,G1629)</f>
        <v/>
      </c>
    </row>
    <row r="1630">
      <c r="A1630" s="9" t="n"/>
      <c r="B1630" s="9" t="n"/>
      <c r="C1630" s="9" t="n"/>
      <c r="D1630" s="9" t="n"/>
      <c r="E1630" s="9" t="n"/>
      <c r="F1630" s="8">
        <f>IF(A1630="","",IFERROR(INDEX(Testes!$N$2:$N$500,MATCH(A1630,Testes!$A$2:$A$500,0)),""))</f>
        <v/>
      </c>
      <c r="G1630" s="8">
        <f>IF(F1630="ocorrência","VP",IF(F1630="sem ocorrência","FP",""))</f>
        <v/>
      </c>
      <c r="H1630" s="7" t="n"/>
      <c r="I1630" s="8">
        <f>IF(H1630&lt;&gt;"",H1630,G1630)</f>
        <v/>
      </c>
    </row>
    <row r="1631">
      <c r="A1631" s="9" t="n"/>
      <c r="B1631" s="9" t="n"/>
      <c r="C1631" s="9" t="n"/>
      <c r="D1631" s="9" t="n"/>
      <c r="E1631" s="9" t="n"/>
      <c r="F1631" s="8">
        <f>IF(A1631="","",IFERROR(INDEX(Testes!$N$2:$N$500,MATCH(A1631,Testes!$A$2:$A$500,0)),""))</f>
        <v/>
      </c>
      <c r="G1631" s="8">
        <f>IF(F1631="ocorrência","VP",IF(F1631="sem ocorrência","FP",""))</f>
        <v/>
      </c>
      <c r="H1631" s="7" t="n"/>
      <c r="I1631" s="8">
        <f>IF(H1631&lt;&gt;"",H1631,G1631)</f>
        <v/>
      </c>
    </row>
    <row r="1632">
      <c r="A1632" s="9" t="n"/>
      <c r="B1632" s="9" t="n"/>
      <c r="C1632" s="9" t="n"/>
      <c r="D1632" s="9" t="n"/>
      <c r="E1632" s="9" t="n"/>
      <c r="F1632" s="8">
        <f>IF(A1632="","",IFERROR(INDEX(Testes!$N$2:$N$500,MATCH(A1632,Testes!$A$2:$A$500,0)),""))</f>
        <v/>
      </c>
      <c r="G1632" s="8">
        <f>IF(F1632="ocorrência","VP",IF(F1632="sem ocorrência","FP",""))</f>
        <v/>
      </c>
      <c r="H1632" s="7" t="n"/>
      <c r="I1632" s="8">
        <f>IF(H1632&lt;&gt;"",H1632,G1632)</f>
        <v/>
      </c>
    </row>
    <row r="1633">
      <c r="A1633" s="9" t="n"/>
      <c r="B1633" s="9" t="n"/>
      <c r="C1633" s="9" t="n"/>
      <c r="D1633" s="9" t="n"/>
      <c r="E1633" s="9" t="n"/>
      <c r="F1633" s="8">
        <f>IF(A1633="","",IFERROR(INDEX(Testes!$N$2:$N$500,MATCH(A1633,Testes!$A$2:$A$500,0)),""))</f>
        <v/>
      </c>
      <c r="G1633" s="8">
        <f>IF(F1633="ocorrência","VP",IF(F1633="sem ocorrência","FP",""))</f>
        <v/>
      </c>
      <c r="H1633" s="7" t="n"/>
      <c r="I1633" s="8">
        <f>IF(H1633&lt;&gt;"",H1633,G1633)</f>
        <v/>
      </c>
    </row>
    <row r="1634">
      <c r="A1634" s="9" t="n"/>
      <c r="B1634" s="9" t="n"/>
      <c r="C1634" s="9" t="n"/>
      <c r="D1634" s="9" t="n"/>
      <c r="E1634" s="9" t="n"/>
      <c r="F1634" s="8">
        <f>IF(A1634="","",IFERROR(INDEX(Testes!$N$2:$N$500,MATCH(A1634,Testes!$A$2:$A$500,0)),""))</f>
        <v/>
      </c>
      <c r="G1634" s="8">
        <f>IF(F1634="ocorrência","VP",IF(F1634="sem ocorrência","FP",""))</f>
        <v/>
      </c>
      <c r="H1634" s="7" t="n"/>
      <c r="I1634" s="8">
        <f>IF(H1634&lt;&gt;"",H1634,G1634)</f>
        <v/>
      </c>
    </row>
    <row r="1635">
      <c r="A1635" s="9" t="n"/>
      <c r="B1635" s="9" t="n"/>
      <c r="C1635" s="9" t="n"/>
      <c r="D1635" s="9" t="n"/>
      <c r="E1635" s="9" t="n"/>
      <c r="F1635" s="8">
        <f>IF(A1635="","",IFERROR(INDEX(Testes!$N$2:$N$500,MATCH(A1635,Testes!$A$2:$A$500,0)),""))</f>
        <v/>
      </c>
      <c r="G1635" s="8">
        <f>IF(F1635="ocorrência","VP",IF(F1635="sem ocorrência","FP",""))</f>
        <v/>
      </c>
      <c r="H1635" s="7" t="n"/>
      <c r="I1635" s="8">
        <f>IF(H1635&lt;&gt;"",H1635,G1635)</f>
        <v/>
      </c>
    </row>
    <row r="1636">
      <c r="A1636" s="9" t="n"/>
      <c r="B1636" s="9" t="n"/>
      <c r="C1636" s="9" t="n"/>
      <c r="D1636" s="9" t="n"/>
      <c r="E1636" s="9" t="n"/>
      <c r="F1636" s="8">
        <f>IF(A1636="","",IFERROR(INDEX(Testes!$N$2:$N$500,MATCH(A1636,Testes!$A$2:$A$500,0)),""))</f>
        <v/>
      </c>
      <c r="G1636" s="8">
        <f>IF(F1636="ocorrência","VP",IF(F1636="sem ocorrência","FP",""))</f>
        <v/>
      </c>
      <c r="H1636" s="7" t="n"/>
      <c r="I1636" s="8">
        <f>IF(H1636&lt;&gt;"",H1636,G1636)</f>
        <v/>
      </c>
    </row>
    <row r="1637">
      <c r="A1637" s="9" t="n"/>
      <c r="B1637" s="9" t="n"/>
      <c r="C1637" s="9" t="n"/>
      <c r="D1637" s="9" t="n"/>
      <c r="E1637" s="9" t="n"/>
      <c r="F1637" s="8">
        <f>IF(A1637="","",IFERROR(INDEX(Testes!$N$2:$N$500,MATCH(A1637,Testes!$A$2:$A$500,0)),""))</f>
        <v/>
      </c>
      <c r="G1637" s="8">
        <f>IF(F1637="ocorrência","VP",IF(F1637="sem ocorrência","FP",""))</f>
        <v/>
      </c>
      <c r="H1637" s="7" t="n"/>
      <c r="I1637" s="8">
        <f>IF(H1637&lt;&gt;"",H1637,G1637)</f>
        <v/>
      </c>
    </row>
    <row r="1638">
      <c r="A1638" s="9" t="n"/>
      <c r="B1638" s="9" t="n"/>
      <c r="C1638" s="9" t="n"/>
      <c r="D1638" s="9" t="n"/>
      <c r="E1638" s="9" t="n"/>
      <c r="F1638" s="8">
        <f>IF(A1638="","",IFERROR(INDEX(Testes!$N$2:$N$500,MATCH(A1638,Testes!$A$2:$A$500,0)),""))</f>
        <v/>
      </c>
      <c r="G1638" s="8">
        <f>IF(F1638="ocorrência","VP",IF(F1638="sem ocorrência","FP",""))</f>
        <v/>
      </c>
      <c r="H1638" s="7" t="n"/>
      <c r="I1638" s="8">
        <f>IF(H1638&lt;&gt;"",H1638,G1638)</f>
        <v/>
      </c>
    </row>
    <row r="1639">
      <c r="A1639" s="9" t="n"/>
      <c r="B1639" s="9" t="n"/>
      <c r="C1639" s="9" t="n"/>
      <c r="D1639" s="9" t="n"/>
      <c r="E1639" s="9" t="n"/>
      <c r="F1639" s="8">
        <f>IF(A1639="","",IFERROR(INDEX(Testes!$N$2:$N$500,MATCH(A1639,Testes!$A$2:$A$500,0)),""))</f>
        <v/>
      </c>
      <c r="G1639" s="8">
        <f>IF(F1639="ocorrência","VP",IF(F1639="sem ocorrência","FP",""))</f>
        <v/>
      </c>
      <c r="H1639" s="7" t="n"/>
      <c r="I1639" s="8">
        <f>IF(H1639&lt;&gt;"",H1639,G1639)</f>
        <v/>
      </c>
    </row>
    <row r="1640">
      <c r="A1640" s="9" t="n"/>
      <c r="B1640" s="9" t="n"/>
      <c r="C1640" s="9" t="n"/>
      <c r="D1640" s="9" t="n"/>
      <c r="E1640" s="9" t="n"/>
      <c r="F1640" s="8">
        <f>IF(A1640="","",IFERROR(INDEX(Testes!$N$2:$N$500,MATCH(A1640,Testes!$A$2:$A$500,0)),""))</f>
        <v/>
      </c>
      <c r="G1640" s="8">
        <f>IF(F1640="ocorrência","VP",IF(F1640="sem ocorrência","FP",""))</f>
        <v/>
      </c>
      <c r="H1640" s="7" t="n"/>
      <c r="I1640" s="8">
        <f>IF(H1640&lt;&gt;"",H1640,G1640)</f>
        <v/>
      </c>
    </row>
    <row r="1641">
      <c r="A1641" s="9" t="n"/>
      <c r="B1641" s="9" t="n"/>
      <c r="C1641" s="9" t="n"/>
      <c r="D1641" s="9" t="n"/>
      <c r="E1641" s="9" t="n"/>
      <c r="F1641" s="8">
        <f>IF(A1641="","",IFERROR(INDEX(Testes!$N$2:$N$500,MATCH(A1641,Testes!$A$2:$A$500,0)),""))</f>
        <v/>
      </c>
      <c r="G1641" s="8">
        <f>IF(F1641="ocorrência","VP",IF(F1641="sem ocorrência","FP",""))</f>
        <v/>
      </c>
      <c r="H1641" s="7" t="n"/>
      <c r="I1641" s="8">
        <f>IF(H1641&lt;&gt;"",H1641,G1641)</f>
        <v/>
      </c>
    </row>
    <row r="1642">
      <c r="A1642" s="9" t="n"/>
      <c r="B1642" s="9" t="n"/>
      <c r="C1642" s="9" t="n"/>
      <c r="D1642" s="9" t="n"/>
      <c r="E1642" s="9" t="n"/>
      <c r="F1642" s="8">
        <f>IF(A1642="","",IFERROR(INDEX(Testes!$N$2:$N$500,MATCH(A1642,Testes!$A$2:$A$500,0)),""))</f>
        <v/>
      </c>
      <c r="G1642" s="8">
        <f>IF(F1642="ocorrência","VP",IF(F1642="sem ocorrência","FP",""))</f>
        <v/>
      </c>
      <c r="H1642" s="7" t="n"/>
      <c r="I1642" s="8">
        <f>IF(H1642&lt;&gt;"",H1642,G1642)</f>
        <v/>
      </c>
    </row>
    <row r="1643">
      <c r="A1643" s="9" t="n"/>
      <c r="B1643" s="9" t="n"/>
      <c r="C1643" s="9" t="n"/>
      <c r="D1643" s="9" t="n"/>
      <c r="E1643" s="9" t="n"/>
      <c r="F1643" s="8">
        <f>IF(A1643="","",IFERROR(INDEX(Testes!$N$2:$N$500,MATCH(A1643,Testes!$A$2:$A$500,0)),""))</f>
        <v/>
      </c>
      <c r="G1643" s="8">
        <f>IF(F1643="ocorrência","VP",IF(F1643="sem ocorrência","FP",""))</f>
        <v/>
      </c>
      <c r="H1643" s="7" t="n"/>
      <c r="I1643" s="8">
        <f>IF(H1643&lt;&gt;"",H1643,G1643)</f>
        <v/>
      </c>
    </row>
    <row r="1644">
      <c r="A1644" s="9" t="n"/>
      <c r="B1644" s="9" t="n"/>
      <c r="C1644" s="9" t="n"/>
      <c r="D1644" s="9" t="n"/>
      <c r="E1644" s="9" t="n"/>
      <c r="F1644" s="8">
        <f>IF(A1644="","",IFERROR(INDEX(Testes!$N$2:$N$500,MATCH(A1644,Testes!$A$2:$A$500,0)),""))</f>
        <v/>
      </c>
      <c r="G1644" s="8">
        <f>IF(F1644="ocorrência","VP",IF(F1644="sem ocorrência","FP",""))</f>
        <v/>
      </c>
      <c r="H1644" s="7" t="n"/>
      <c r="I1644" s="8">
        <f>IF(H1644&lt;&gt;"",H1644,G1644)</f>
        <v/>
      </c>
    </row>
    <row r="1645">
      <c r="A1645" s="9" t="n"/>
      <c r="B1645" s="9" t="n"/>
      <c r="C1645" s="9" t="n"/>
      <c r="D1645" s="9" t="n"/>
      <c r="E1645" s="9" t="n"/>
      <c r="F1645" s="8">
        <f>IF(A1645="","",IFERROR(INDEX(Testes!$N$2:$N$500,MATCH(A1645,Testes!$A$2:$A$500,0)),""))</f>
        <v/>
      </c>
      <c r="G1645" s="8">
        <f>IF(F1645="ocorrência","VP",IF(F1645="sem ocorrência","FP",""))</f>
        <v/>
      </c>
      <c r="H1645" s="7" t="n"/>
      <c r="I1645" s="8">
        <f>IF(H1645&lt;&gt;"",H1645,G1645)</f>
        <v/>
      </c>
    </row>
    <row r="1646">
      <c r="A1646" s="9" t="n"/>
      <c r="B1646" s="9" t="n"/>
      <c r="C1646" s="9" t="n"/>
      <c r="D1646" s="9" t="n"/>
      <c r="E1646" s="9" t="n"/>
      <c r="F1646" s="8">
        <f>IF(A1646="","",IFERROR(INDEX(Testes!$N$2:$N$500,MATCH(A1646,Testes!$A$2:$A$500,0)),""))</f>
        <v/>
      </c>
      <c r="G1646" s="8">
        <f>IF(F1646="ocorrência","VP",IF(F1646="sem ocorrência","FP",""))</f>
        <v/>
      </c>
      <c r="H1646" s="7" t="n"/>
      <c r="I1646" s="8">
        <f>IF(H1646&lt;&gt;"",H1646,G1646)</f>
        <v/>
      </c>
    </row>
    <row r="1647">
      <c r="A1647" s="9" t="n"/>
      <c r="B1647" s="9" t="n"/>
      <c r="C1647" s="9" t="n"/>
      <c r="D1647" s="9" t="n"/>
      <c r="E1647" s="9" t="n"/>
      <c r="F1647" s="8">
        <f>IF(A1647="","",IFERROR(INDEX(Testes!$N$2:$N$500,MATCH(A1647,Testes!$A$2:$A$500,0)),""))</f>
        <v/>
      </c>
      <c r="G1647" s="8">
        <f>IF(F1647="ocorrência","VP",IF(F1647="sem ocorrência","FP",""))</f>
        <v/>
      </c>
      <c r="H1647" s="7" t="n"/>
      <c r="I1647" s="8">
        <f>IF(H1647&lt;&gt;"",H1647,G1647)</f>
        <v/>
      </c>
    </row>
    <row r="1648">
      <c r="A1648" s="9" t="n"/>
      <c r="B1648" s="9" t="n"/>
      <c r="C1648" s="9" t="n"/>
      <c r="D1648" s="9" t="n"/>
      <c r="E1648" s="9" t="n"/>
      <c r="F1648" s="8">
        <f>IF(A1648="","",IFERROR(INDEX(Testes!$N$2:$N$500,MATCH(A1648,Testes!$A$2:$A$500,0)),""))</f>
        <v/>
      </c>
      <c r="G1648" s="8">
        <f>IF(F1648="ocorrência","VP",IF(F1648="sem ocorrência","FP",""))</f>
        <v/>
      </c>
      <c r="H1648" s="7" t="n"/>
      <c r="I1648" s="8">
        <f>IF(H1648&lt;&gt;"",H1648,G1648)</f>
        <v/>
      </c>
    </row>
    <row r="1649">
      <c r="A1649" s="9" t="n"/>
      <c r="B1649" s="9" t="n"/>
      <c r="C1649" s="9" t="n"/>
      <c r="D1649" s="9" t="n"/>
      <c r="E1649" s="9" t="n"/>
      <c r="F1649" s="8">
        <f>IF(A1649="","",IFERROR(INDEX(Testes!$N$2:$N$500,MATCH(A1649,Testes!$A$2:$A$500,0)),""))</f>
        <v/>
      </c>
      <c r="G1649" s="8">
        <f>IF(F1649="ocorrência","VP",IF(F1649="sem ocorrência","FP",""))</f>
        <v/>
      </c>
      <c r="H1649" s="7" t="n"/>
      <c r="I1649" s="8">
        <f>IF(H1649&lt;&gt;"",H1649,G1649)</f>
        <v/>
      </c>
    </row>
    <row r="1650">
      <c r="A1650" s="9" t="n"/>
      <c r="B1650" s="9" t="n"/>
      <c r="C1650" s="9" t="n"/>
      <c r="D1650" s="9" t="n"/>
      <c r="E1650" s="9" t="n"/>
      <c r="F1650" s="8">
        <f>IF(A1650="","",IFERROR(INDEX(Testes!$N$2:$N$500,MATCH(A1650,Testes!$A$2:$A$500,0)),""))</f>
        <v/>
      </c>
      <c r="G1650" s="8">
        <f>IF(F1650="ocorrência","VP",IF(F1650="sem ocorrência","FP",""))</f>
        <v/>
      </c>
      <c r="H1650" s="7" t="n"/>
      <c r="I1650" s="8">
        <f>IF(H1650&lt;&gt;"",H1650,G1650)</f>
        <v/>
      </c>
    </row>
    <row r="1651">
      <c r="A1651" s="9" t="n"/>
      <c r="B1651" s="9" t="n"/>
      <c r="C1651" s="9" t="n"/>
      <c r="D1651" s="9" t="n"/>
      <c r="E1651" s="9" t="n"/>
      <c r="F1651" s="8">
        <f>IF(A1651="","",IFERROR(INDEX(Testes!$N$2:$N$500,MATCH(A1651,Testes!$A$2:$A$500,0)),""))</f>
        <v/>
      </c>
      <c r="G1651" s="8">
        <f>IF(F1651="ocorrência","VP",IF(F1651="sem ocorrência","FP",""))</f>
        <v/>
      </c>
      <c r="H1651" s="7" t="n"/>
      <c r="I1651" s="8">
        <f>IF(H1651&lt;&gt;"",H1651,G1651)</f>
        <v/>
      </c>
    </row>
    <row r="1652">
      <c r="A1652" s="9" t="n"/>
      <c r="B1652" s="9" t="n"/>
      <c r="C1652" s="9" t="n"/>
      <c r="D1652" s="9" t="n"/>
      <c r="E1652" s="9" t="n"/>
      <c r="F1652" s="8">
        <f>IF(A1652="","",IFERROR(INDEX(Testes!$N$2:$N$500,MATCH(A1652,Testes!$A$2:$A$500,0)),""))</f>
        <v/>
      </c>
      <c r="G1652" s="8">
        <f>IF(F1652="ocorrência","VP",IF(F1652="sem ocorrência","FP",""))</f>
        <v/>
      </c>
      <c r="H1652" s="7" t="n"/>
      <c r="I1652" s="8">
        <f>IF(H1652&lt;&gt;"",H1652,G1652)</f>
        <v/>
      </c>
    </row>
    <row r="1653">
      <c r="A1653" s="9" t="n"/>
      <c r="B1653" s="9" t="n"/>
      <c r="C1653" s="9" t="n"/>
      <c r="D1653" s="9" t="n"/>
      <c r="E1653" s="9" t="n"/>
      <c r="F1653" s="8">
        <f>IF(A1653="","",IFERROR(INDEX(Testes!$N$2:$N$500,MATCH(A1653,Testes!$A$2:$A$500,0)),""))</f>
        <v/>
      </c>
      <c r="G1653" s="8">
        <f>IF(F1653="ocorrência","VP",IF(F1653="sem ocorrência","FP",""))</f>
        <v/>
      </c>
      <c r="H1653" s="7" t="n"/>
      <c r="I1653" s="8">
        <f>IF(H1653&lt;&gt;"",H1653,G1653)</f>
        <v/>
      </c>
    </row>
    <row r="1654">
      <c r="A1654" s="9" t="n"/>
      <c r="B1654" s="9" t="n"/>
      <c r="C1654" s="9" t="n"/>
      <c r="D1654" s="9" t="n"/>
      <c r="E1654" s="9" t="n"/>
      <c r="F1654" s="8">
        <f>IF(A1654="","",IFERROR(INDEX(Testes!$N$2:$N$500,MATCH(A1654,Testes!$A$2:$A$500,0)),""))</f>
        <v/>
      </c>
      <c r="G1654" s="8">
        <f>IF(F1654="ocorrência","VP",IF(F1654="sem ocorrência","FP",""))</f>
        <v/>
      </c>
      <c r="H1654" s="7" t="n"/>
      <c r="I1654" s="8">
        <f>IF(H1654&lt;&gt;"",H1654,G1654)</f>
        <v/>
      </c>
    </row>
    <row r="1655">
      <c r="A1655" s="9" t="n"/>
      <c r="B1655" s="9" t="n"/>
      <c r="C1655" s="9" t="n"/>
      <c r="D1655" s="9" t="n"/>
      <c r="E1655" s="9" t="n"/>
      <c r="F1655" s="8">
        <f>IF(A1655="","",IFERROR(INDEX(Testes!$N$2:$N$500,MATCH(A1655,Testes!$A$2:$A$500,0)),""))</f>
        <v/>
      </c>
      <c r="G1655" s="8">
        <f>IF(F1655="ocorrência","VP",IF(F1655="sem ocorrência","FP",""))</f>
        <v/>
      </c>
      <c r="H1655" s="7" t="n"/>
      <c r="I1655" s="8">
        <f>IF(H1655&lt;&gt;"",H1655,G1655)</f>
        <v/>
      </c>
    </row>
    <row r="1656">
      <c r="A1656" s="9" t="n"/>
      <c r="B1656" s="9" t="n"/>
      <c r="C1656" s="9" t="n"/>
      <c r="D1656" s="9" t="n"/>
      <c r="E1656" s="9" t="n"/>
      <c r="F1656" s="8">
        <f>IF(A1656="","",IFERROR(INDEX(Testes!$N$2:$N$500,MATCH(A1656,Testes!$A$2:$A$500,0)),""))</f>
        <v/>
      </c>
      <c r="G1656" s="8">
        <f>IF(F1656="ocorrência","VP",IF(F1656="sem ocorrência","FP",""))</f>
        <v/>
      </c>
      <c r="H1656" s="7" t="n"/>
      <c r="I1656" s="8">
        <f>IF(H1656&lt;&gt;"",H1656,G1656)</f>
        <v/>
      </c>
    </row>
    <row r="1657">
      <c r="A1657" s="9" t="n"/>
      <c r="B1657" s="9" t="n"/>
      <c r="C1657" s="9" t="n"/>
      <c r="D1657" s="9" t="n"/>
      <c r="E1657" s="9" t="n"/>
      <c r="F1657" s="8">
        <f>IF(A1657="","",IFERROR(INDEX(Testes!$N$2:$N$500,MATCH(A1657,Testes!$A$2:$A$500,0)),""))</f>
        <v/>
      </c>
      <c r="G1657" s="8">
        <f>IF(F1657="ocorrência","VP",IF(F1657="sem ocorrência","FP",""))</f>
        <v/>
      </c>
      <c r="H1657" s="7" t="n"/>
      <c r="I1657" s="8">
        <f>IF(H1657&lt;&gt;"",H1657,G1657)</f>
        <v/>
      </c>
    </row>
    <row r="1658">
      <c r="A1658" s="9" t="n"/>
      <c r="B1658" s="9" t="n"/>
      <c r="C1658" s="9" t="n"/>
      <c r="D1658" s="9" t="n"/>
      <c r="E1658" s="9" t="n"/>
      <c r="F1658" s="8">
        <f>IF(A1658="","",IFERROR(INDEX(Testes!$N$2:$N$500,MATCH(A1658,Testes!$A$2:$A$500,0)),""))</f>
        <v/>
      </c>
      <c r="G1658" s="8">
        <f>IF(F1658="ocorrência","VP",IF(F1658="sem ocorrência","FP",""))</f>
        <v/>
      </c>
      <c r="H1658" s="7" t="n"/>
      <c r="I1658" s="8">
        <f>IF(H1658&lt;&gt;"",H1658,G1658)</f>
        <v/>
      </c>
    </row>
    <row r="1659">
      <c r="A1659" s="9" t="n"/>
      <c r="B1659" s="9" t="n"/>
      <c r="C1659" s="9" t="n"/>
      <c r="D1659" s="9" t="n"/>
      <c r="E1659" s="9" t="n"/>
      <c r="F1659" s="8">
        <f>IF(A1659="","",IFERROR(INDEX(Testes!$N$2:$N$500,MATCH(A1659,Testes!$A$2:$A$500,0)),""))</f>
        <v/>
      </c>
      <c r="G1659" s="8">
        <f>IF(F1659="ocorrência","VP",IF(F1659="sem ocorrência","FP",""))</f>
        <v/>
      </c>
      <c r="H1659" s="7" t="n"/>
      <c r="I1659" s="8">
        <f>IF(H1659&lt;&gt;"",H1659,G1659)</f>
        <v/>
      </c>
    </row>
    <row r="1660">
      <c r="A1660" s="9" t="n"/>
      <c r="B1660" s="9" t="n"/>
      <c r="C1660" s="9" t="n"/>
      <c r="D1660" s="9" t="n"/>
      <c r="E1660" s="9" t="n"/>
      <c r="F1660" s="8">
        <f>IF(A1660="","",IFERROR(INDEX(Testes!$N$2:$N$500,MATCH(A1660,Testes!$A$2:$A$500,0)),""))</f>
        <v/>
      </c>
      <c r="G1660" s="8">
        <f>IF(F1660="ocorrência","VP",IF(F1660="sem ocorrência","FP",""))</f>
        <v/>
      </c>
      <c r="H1660" s="7" t="n"/>
      <c r="I1660" s="8">
        <f>IF(H1660&lt;&gt;"",H1660,G1660)</f>
        <v/>
      </c>
    </row>
    <row r="1661">
      <c r="A1661" s="9" t="n"/>
      <c r="B1661" s="9" t="n"/>
      <c r="C1661" s="9" t="n"/>
      <c r="D1661" s="9" t="n"/>
      <c r="E1661" s="9" t="n"/>
      <c r="F1661" s="8">
        <f>IF(A1661="","",IFERROR(INDEX(Testes!$N$2:$N$500,MATCH(A1661,Testes!$A$2:$A$500,0)),""))</f>
        <v/>
      </c>
      <c r="G1661" s="8">
        <f>IF(F1661="ocorrência","VP",IF(F1661="sem ocorrência","FP",""))</f>
        <v/>
      </c>
      <c r="H1661" s="7" t="n"/>
      <c r="I1661" s="8">
        <f>IF(H1661&lt;&gt;"",H1661,G1661)</f>
        <v/>
      </c>
    </row>
    <row r="1662">
      <c r="A1662" s="9" t="n"/>
      <c r="B1662" s="9" t="n"/>
      <c r="C1662" s="9" t="n"/>
      <c r="D1662" s="9" t="n"/>
      <c r="E1662" s="9" t="n"/>
      <c r="F1662" s="8">
        <f>IF(A1662="","",IFERROR(INDEX(Testes!$N$2:$N$500,MATCH(A1662,Testes!$A$2:$A$500,0)),""))</f>
        <v/>
      </c>
      <c r="G1662" s="8">
        <f>IF(F1662="ocorrência","VP",IF(F1662="sem ocorrência","FP",""))</f>
        <v/>
      </c>
      <c r="H1662" s="7" t="n"/>
      <c r="I1662" s="8">
        <f>IF(H1662&lt;&gt;"",H1662,G1662)</f>
        <v/>
      </c>
    </row>
    <row r="1663">
      <c r="A1663" s="9" t="n"/>
      <c r="B1663" s="9" t="n"/>
      <c r="C1663" s="9" t="n"/>
      <c r="D1663" s="9" t="n"/>
      <c r="E1663" s="9" t="n"/>
      <c r="F1663" s="8">
        <f>IF(A1663="","",IFERROR(INDEX(Testes!$N$2:$N$500,MATCH(A1663,Testes!$A$2:$A$500,0)),""))</f>
        <v/>
      </c>
      <c r="G1663" s="8">
        <f>IF(F1663="ocorrência","VP",IF(F1663="sem ocorrência","FP",""))</f>
        <v/>
      </c>
      <c r="H1663" s="7" t="n"/>
      <c r="I1663" s="8">
        <f>IF(H1663&lt;&gt;"",H1663,G1663)</f>
        <v/>
      </c>
    </row>
    <row r="1664">
      <c r="A1664" s="9" t="n"/>
      <c r="B1664" s="9" t="n"/>
      <c r="C1664" s="9" t="n"/>
      <c r="D1664" s="9" t="n"/>
      <c r="E1664" s="9" t="n"/>
      <c r="F1664" s="8">
        <f>IF(A1664="","",IFERROR(INDEX(Testes!$N$2:$N$500,MATCH(A1664,Testes!$A$2:$A$500,0)),""))</f>
        <v/>
      </c>
      <c r="G1664" s="8">
        <f>IF(F1664="ocorrência","VP",IF(F1664="sem ocorrência","FP",""))</f>
        <v/>
      </c>
      <c r="H1664" s="7" t="n"/>
      <c r="I1664" s="8">
        <f>IF(H1664&lt;&gt;"",H1664,G1664)</f>
        <v/>
      </c>
    </row>
    <row r="1665">
      <c r="A1665" s="9" t="n"/>
      <c r="B1665" s="9" t="n"/>
      <c r="C1665" s="9" t="n"/>
      <c r="D1665" s="9" t="n"/>
      <c r="E1665" s="9" t="n"/>
      <c r="F1665" s="8">
        <f>IF(A1665="","",IFERROR(INDEX(Testes!$N$2:$N$500,MATCH(A1665,Testes!$A$2:$A$500,0)),""))</f>
        <v/>
      </c>
      <c r="G1665" s="8">
        <f>IF(F1665="ocorrência","VP",IF(F1665="sem ocorrência","FP",""))</f>
        <v/>
      </c>
      <c r="H1665" s="7" t="n"/>
      <c r="I1665" s="8">
        <f>IF(H1665&lt;&gt;"",H1665,G1665)</f>
        <v/>
      </c>
    </row>
    <row r="1666">
      <c r="A1666" s="9" t="n"/>
      <c r="B1666" s="9" t="n"/>
      <c r="C1666" s="9" t="n"/>
      <c r="D1666" s="9" t="n"/>
      <c r="E1666" s="9" t="n"/>
      <c r="F1666" s="8">
        <f>IF(A1666="","",IFERROR(INDEX(Testes!$N$2:$N$500,MATCH(A1666,Testes!$A$2:$A$500,0)),""))</f>
        <v/>
      </c>
      <c r="G1666" s="8">
        <f>IF(F1666="ocorrência","VP",IF(F1666="sem ocorrência","FP",""))</f>
        <v/>
      </c>
      <c r="H1666" s="7" t="n"/>
      <c r="I1666" s="8">
        <f>IF(H1666&lt;&gt;"",H1666,G1666)</f>
        <v/>
      </c>
    </row>
    <row r="1667">
      <c r="A1667" s="9" t="n"/>
      <c r="B1667" s="9" t="n"/>
      <c r="C1667" s="9" t="n"/>
      <c r="D1667" s="9" t="n"/>
      <c r="E1667" s="9" t="n"/>
      <c r="F1667" s="8">
        <f>IF(A1667="","",IFERROR(INDEX(Testes!$N$2:$N$500,MATCH(A1667,Testes!$A$2:$A$500,0)),""))</f>
        <v/>
      </c>
      <c r="G1667" s="8">
        <f>IF(F1667="ocorrência","VP",IF(F1667="sem ocorrência","FP",""))</f>
        <v/>
      </c>
      <c r="H1667" s="7" t="n"/>
      <c r="I1667" s="8">
        <f>IF(H1667&lt;&gt;"",H1667,G1667)</f>
        <v/>
      </c>
    </row>
    <row r="1668">
      <c r="A1668" s="9" t="n"/>
      <c r="B1668" s="9" t="n"/>
      <c r="C1668" s="9" t="n"/>
      <c r="D1668" s="9" t="n"/>
      <c r="E1668" s="9" t="n"/>
      <c r="F1668" s="8">
        <f>IF(A1668="","",IFERROR(INDEX(Testes!$N$2:$N$500,MATCH(A1668,Testes!$A$2:$A$500,0)),""))</f>
        <v/>
      </c>
      <c r="G1668" s="8">
        <f>IF(F1668="ocorrência","VP",IF(F1668="sem ocorrência","FP",""))</f>
        <v/>
      </c>
      <c r="H1668" s="7" t="n"/>
      <c r="I1668" s="8">
        <f>IF(H1668&lt;&gt;"",H1668,G1668)</f>
        <v/>
      </c>
    </row>
    <row r="1669">
      <c r="A1669" s="9" t="n"/>
      <c r="B1669" s="9" t="n"/>
      <c r="C1669" s="9" t="n"/>
      <c r="D1669" s="9" t="n"/>
      <c r="E1669" s="9" t="n"/>
      <c r="F1669" s="8">
        <f>IF(A1669="","",IFERROR(INDEX(Testes!$N$2:$N$500,MATCH(A1669,Testes!$A$2:$A$500,0)),""))</f>
        <v/>
      </c>
      <c r="G1669" s="8">
        <f>IF(F1669="ocorrência","VP",IF(F1669="sem ocorrência","FP",""))</f>
        <v/>
      </c>
      <c r="H1669" s="7" t="n"/>
      <c r="I1669" s="8">
        <f>IF(H1669&lt;&gt;"",H1669,G1669)</f>
        <v/>
      </c>
    </row>
    <row r="1670">
      <c r="A1670" s="9" t="n"/>
      <c r="B1670" s="9" t="n"/>
      <c r="C1670" s="9" t="n"/>
      <c r="D1670" s="9" t="n"/>
      <c r="E1670" s="9" t="n"/>
      <c r="F1670" s="8">
        <f>IF(A1670="","",IFERROR(INDEX(Testes!$N$2:$N$500,MATCH(A1670,Testes!$A$2:$A$500,0)),""))</f>
        <v/>
      </c>
      <c r="G1670" s="8">
        <f>IF(F1670="ocorrência","VP",IF(F1670="sem ocorrência","FP",""))</f>
        <v/>
      </c>
      <c r="H1670" s="7" t="n"/>
      <c r="I1670" s="8">
        <f>IF(H1670&lt;&gt;"",H1670,G1670)</f>
        <v/>
      </c>
    </row>
    <row r="1671">
      <c r="A1671" s="9" t="n"/>
      <c r="B1671" s="9" t="n"/>
      <c r="C1671" s="9" t="n"/>
      <c r="D1671" s="9" t="n"/>
      <c r="E1671" s="9" t="n"/>
      <c r="F1671" s="8">
        <f>IF(A1671="","",IFERROR(INDEX(Testes!$N$2:$N$500,MATCH(A1671,Testes!$A$2:$A$500,0)),""))</f>
        <v/>
      </c>
      <c r="G1671" s="8">
        <f>IF(F1671="ocorrência","VP",IF(F1671="sem ocorrência","FP",""))</f>
        <v/>
      </c>
      <c r="H1671" s="7" t="n"/>
      <c r="I1671" s="8">
        <f>IF(H1671&lt;&gt;"",H1671,G1671)</f>
        <v/>
      </c>
    </row>
    <row r="1672">
      <c r="A1672" s="9" t="n"/>
      <c r="B1672" s="9" t="n"/>
      <c r="C1672" s="9" t="n"/>
      <c r="D1672" s="9" t="n"/>
      <c r="E1672" s="9" t="n"/>
      <c r="F1672" s="8">
        <f>IF(A1672="","",IFERROR(INDEX(Testes!$N$2:$N$500,MATCH(A1672,Testes!$A$2:$A$500,0)),""))</f>
        <v/>
      </c>
      <c r="G1672" s="8">
        <f>IF(F1672="ocorrência","VP",IF(F1672="sem ocorrência","FP",""))</f>
        <v/>
      </c>
      <c r="H1672" s="7" t="n"/>
      <c r="I1672" s="8">
        <f>IF(H1672&lt;&gt;"",H1672,G1672)</f>
        <v/>
      </c>
    </row>
    <row r="1673">
      <c r="A1673" s="9" t="n"/>
      <c r="B1673" s="9" t="n"/>
      <c r="C1673" s="9" t="n"/>
      <c r="D1673" s="9" t="n"/>
      <c r="E1673" s="9" t="n"/>
      <c r="F1673" s="8">
        <f>IF(A1673="","",IFERROR(INDEX(Testes!$N$2:$N$500,MATCH(A1673,Testes!$A$2:$A$500,0)),""))</f>
        <v/>
      </c>
      <c r="G1673" s="8">
        <f>IF(F1673="ocorrência","VP",IF(F1673="sem ocorrência","FP",""))</f>
        <v/>
      </c>
      <c r="H1673" s="7" t="n"/>
      <c r="I1673" s="8">
        <f>IF(H1673&lt;&gt;"",H1673,G1673)</f>
        <v/>
      </c>
    </row>
    <row r="1674">
      <c r="A1674" s="9" t="n"/>
      <c r="B1674" s="9" t="n"/>
      <c r="C1674" s="9" t="n"/>
      <c r="D1674" s="9" t="n"/>
      <c r="E1674" s="9" t="n"/>
      <c r="F1674" s="8">
        <f>IF(A1674="","",IFERROR(INDEX(Testes!$N$2:$N$500,MATCH(A1674,Testes!$A$2:$A$500,0)),""))</f>
        <v/>
      </c>
      <c r="G1674" s="8">
        <f>IF(F1674="ocorrência","VP",IF(F1674="sem ocorrência","FP",""))</f>
        <v/>
      </c>
      <c r="H1674" s="7" t="n"/>
      <c r="I1674" s="8">
        <f>IF(H1674&lt;&gt;"",H1674,G1674)</f>
        <v/>
      </c>
    </row>
    <row r="1675">
      <c r="A1675" s="9" t="n"/>
      <c r="B1675" s="9" t="n"/>
      <c r="C1675" s="9" t="n"/>
      <c r="D1675" s="9" t="n"/>
      <c r="E1675" s="9" t="n"/>
      <c r="F1675" s="8">
        <f>IF(A1675="","",IFERROR(INDEX(Testes!$N$2:$N$500,MATCH(A1675,Testes!$A$2:$A$500,0)),""))</f>
        <v/>
      </c>
      <c r="G1675" s="8">
        <f>IF(F1675="ocorrência","VP",IF(F1675="sem ocorrência","FP",""))</f>
        <v/>
      </c>
      <c r="H1675" s="7" t="n"/>
      <c r="I1675" s="8">
        <f>IF(H1675&lt;&gt;"",H1675,G1675)</f>
        <v/>
      </c>
    </row>
    <row r="1676">
      <c r="A1676" s="9" t="n"/>
      <c r="B1676" s="9" t="n"/>
      <c r="C1676" s="9" t="n"/>
      <c r="D1676" s="9" t="n"/>
      <c r="E1676" s="9" t="n"/>
      <c r="F1676" s="8">
        <f>IF(A1676="","",IFERROR(INDEX(Testes!$N$2:$N$500,MATCH(A1676,Testes!$A$2:$A$500,0)),""))</f>
        <v/>
      </c>
      <c r="G1676" s="8">
        <f>IF(F1676="ocorrência","VP",IF(F1676="sem ocorrência","FP",""))</f>
        <v/>
      </c>
      <c r="H1676" s="7" t="n"/>
      <c r="I1676" s="8">
        <f>IF(H1676&lt;&gt;"",H1676,G1676)</f>
        <v/>
      </c>
    </row>
    <row r="1677">
      <c r="A1677" s="9" t="n"/>
      <c r="B1677" s="9" t="n"/>
      <c r="C1677" s="9" t="n"/>
      <c r="D1677" s="9" t="n"/>
      <c r="E1677" s="9" t="n"/>
      <c r="F1677" s="8">
        <f>IF(A1677="","",IFERROR(INDEX(Testes!$N$2:$N$500,MATCH(A1677,Testes!$A$2:$A$500,0)),""))</f>
        <v/>
      </c>
      <c r="G1677" s="8">
        <f>IF(F1677="ocorrência","VP",IF(F1677="sem ocorrência","FP",""))</f>
        <v/>
      </c>
      <c r="H1677" s="7" t="n"/>
      <c r="I1677" s="8">
        <f>IF(H1677&lt;&gt;"",H1677,G1677)</f>
        <v/>
      </c>
    </row>
    <row r="1678">
      <c r="A1678" s="9" t="n"/>
      <c r="B1678" s="9" t="n"/>
      <c r="C1678" s="9" t="n"/>
      <c r="D1678" s="9" t="n"/>
      <c r="E1678" s="9" t="n"/>
      <c r="F1678" s="8">
        <f>IF(A1678="","",IFERROR(INDEX(Testes!$N$2:$N$500,MATCH(A1678,Testes!$A$2:$A$500,0)),""))</f>
        <v/>
      </c>
      <c r="G1678" s="8">
        <f>IF(F1678="ocorrência","VP",IF(F1678="sem ocorrência","FP",""))</f>
        <v/>
      </c>
      <c r="H1678" s="7" t="n"/>
      <c r="I1678" s="8">
        <f>IF(H1678&lt;&gt;"",H1678,G1678)</f>
        <v/>
      </c>
    </row>
    <row r="1679">
      <c r="A1679" s="9" t="n"/>
      <c r="B1679" s="9" t="n"/>
      <c r="C1679" s="9" t="n"/>
      <c r="D1679" s="9" t="n"/>
      <c r="E1679" s="9" t="n"/>
      <c r="F1679" s="8">
        <f>IF(A1679="","",IFERROR(INDEX(Testes!$N$2:$N$500,MATCH(A1679,Testes!$A$2:$A$500,0)),""))</f>
        <v/>
      </c>
      <c r="G1679" s="8">
        <f>IF(F1679="ocorrência","VP",IF(F1679="sem ocorrência","FP",""))</f>
        <v/>
      </c>
      <c r="H1679" s="7" t="n"/>
      <c r="I1679" s="8">
        <f>IF(H1679&lt;&gt;"",H1679,G1679)</f>
        <v/>
      </c>
    </row>
    <row r="1680">
      <c r="A1680" s="9" t="n"/>
      <c r="B1680" s="9" t="n"/>
      <c r="C1680" s="9" t="n"/>
      <c r="D1680" s="9" t="n"/>
      <c r="E1680" s="9" t="n"/>
      <c r="F1680" s="8">
        <f>IF(A1680="","",IFERROR(INDEX(Testes!$N$2:$N$500,MATCH(A1680,Testes!$A$2:$A$500,0)),""))</f>
        <v/>
      </c>
      <c r="G1680" s="8">
        <f>IF(F1680="ocorrência","VP",IF(F1680="sem ocorrência","FP",""))</f>
        <v/>
      </c>
      <c r="H1680" s="7" t="n"/>
      <c r="I1680" s="8">
        <f>IF(H1680&lt;&gt;"",H1680,G1680)</f>
        <v/>
      </c>
    </row>
    <row r="1681">
      <c r="A1681" s="9" t="n"/>
      <c r="B1681" s="9" t="n"/>
      <c r="C1681" s="9" t="n"/>
      <c r="D1681" s="9" t="n"/>
      <c r="E1681" s="9" t="n"/>
      <c r="F1681" s="8">
        <f>IF(A1681="","",IFERROR(INDEX(Testes!$N$2:$N$500,MATCH(A1681,Testes!$A$2:$A$500,0)),""))</f>
        <v/>
      </c>
      <c r="G1681" s="8">
        <f>IF(F1681="ocorrência","VP",IF(F1681="sem ocorrência","FP",""))</f>
        <v/>
      </c>
      <c r="H1681" s="7" t="n"/>
      <c r="I1681" s="8">
        <f>IF(H1681&lt;&gt;"",H1681,G1681)</f>
        <v/>
      </c>
    </row>
    <row r="1682">
      <c r="A1682" s="9" t="n"/>
      <c r="B1682" s="9" t="n"/>
      <c r="C1682" s="9" t="n"/>
      <c r="D1682" s="9" t="n"/>
      <c r="E1682" s="9" t="n"/>
      <c r="F1682" s="8">
        <f>IF(A1682="","",IFERROR(INDEX(Testes!$N$2:$N$500,MATCH(A1682,Testes!$A$2:$A$500,0)),""))</f>
        <v/>
      </c>
      <c r="G1682" s="8">
        <f>IF(F1682="ocorrência","VP",IF(F1682="sem ocorrência","FP",""))</f>
        <v/>
      </c>
      <c r="H1682" s="7" t="n"/>
      <c r="I1682" s="8">
        <f>IF(H1682&lt;&gt;"",H1682,G1682)</f>
        <v/>
      </c>
    </row>
    <row r="1683">
      <c r="A1683" s="9" t="n"/>
      <c r="B1683" s="9" t="n"/>
      <c r="C1683" s="9" t="n"/>
      <c r="D1683" s="9" t="n"/>
      <c r="E1683" s="9" t="n"/>
      <c r="F1683" s="8">
        <f>IF(A1683="","",IFERROR(INDEX(Testes!$N$2:$N$500,MATCH(A1683,Testes!$A$2:$A$500,0)),""))</f>
        <v/>
      </c>
      <c r="G1683" s="8">
        <f>IF(F1683="ocorrência","VP",IF(F1683="sem ocorrência","FP",""))</f>
        <v/>
      </c>
      <c r="H1683" s="7" t="n"/>
      <c r="I1683" s="8">
        <f>IF(H1683&lt;&gt;"",H1683,G1683)</f>
        <v/>
      </c>
    </row>
    <row r="1684">
      <c r="A1684" s="9" t="n"/>
      <c r="B1684" s="9" t="n"/>
      <c r="C1684" s="9" t="n"/>
      <c r="D1684" s="9" t="n"/>
      <c r="E1684" s="9" t="n"/>
      <c r="F1684" s="8">
        <f>IF(A1684="","",IFERROR(INDEX(Testes!$N$2:$N$500,MATCH(A1684,Testes!$A$2:$A$500,0)),""))</f>
        <v/>
      </c>
      <c r="G1684" s="8">
        <f>IF(F1684="ocorrência","VP",IF(F1684="sem ocorrência","FP",""))</f>
        <v/>
      </c>
      <c r="H1684" s="7" t="n"/>
      <c r="I1684" s="8">
        <f>IF(H1684&lt;&gt;"",H1684,G1684)</f>
        <v/>
      </c>
    </row>
    <row r="1685">
      <c r="A1685" s="9" t="n"/>
      <c r="B1685" s="9" t="n"/>
      <c r="C1685" s="9" t="n"/>
      <c r="D1685" s="9" t="n"/>
      <c r="E1685" s="9" t="n"/>
      <c r="F1685" s="8">
        <f>IF(A1685="","",IFERROR(INDEX(Testes!$N$2:$N$500,MATCH(A1685,Testes!$A$2:$A$500,0)),""))</f>
        <v/>
      </c>
      <c r="G1685" s="8">
        <f>IF(F1685="ocorrência","VP",IF(F1685="sem ocorrência","FP",""))</f>
        <v/>
      </c>
      <c r="H1685" s="7" t="n"/>
      <c r="I1685" s="8">
        <f>IF(H1685&lt;&gt;"",H1685,G1685)</f>
        <v/>
      </c>
    </row>
    <row r="1686">
      <c r="A1686" s="9" t="n"/>
      <c r="B1686" s="9" t="n"/>
      <c r="C1686" s="9" t="n"/>
      <c r="D1686" s="9" t="n"/>
      <c r="E1686" s="9" t="n"/>
      <c r="F1686" s="8">
        <f>IF(A1686="","",IFERROR(INDEX(Testes!$N$2:$N$500,MATCH(A1686,Testes!$A$2:$A$500,0)),""))</f>
        <v/>
      </c>
      <c r="G1686" s="8">
        <f>IF(F1686="ocorrência","VP",IF(F1686="sem ocorrência","FP",""))</f>
        <v/>
      </c>
      <c r="H1686" s="7" t="n"/>
      <c r="I1686" s="8">
        <f>IF(H1686&lt;&gt;"",H1686,G1686)</f>
        <v/>
      </c>
    </row>
    <row r="1687">
      <c r="A1687" s="9" t="n"/>
      <c r="B1687" s="9" t="n"/>
      <c r="C1687" s="9" t="n"/>
      <c r="D1687" s="9" t="n"/>
      <c r="E1687" s="9" t="n"/>
      <c r="F1687" s="8">
        <f>IF(A1687="","",IFERROR(INDEX(Testes!$N$2:$N$500,MATCH(A1687,Testes!$A$2:$A$500,0)),""))</f>
        <v/>
      </c>
      <c r="G1687" s="8">
        <f>IF(F1687="ocorrência","VP",IF(F1687="sem ocorrência","FP",""))</f>
        <v/>
      </c>
      <c r="H1687" s="7" t="n"/>
      <c r="I1687" s="8">
        <f>IF(H1687&lt;&gt;"",H1687,G1687)</f>
        <v/>
      </c>
    </row>
    <row r="1688">
      <c r="A1688" s="9" t="n"/>
      <c r="B1688" s="9" t="n"/>
      <c r="C1688" s="9" t="n"/>
      <c r="D1688" s="9" t="n"/>
      <c r="E1688" s="9" t="n"/>
      <c r="F1688" s="8">
        <f>IF(A1688="","",IFERROR(INDEX(Testes!$N$2:$N$500,MATCH(A1688,Testes!$A$2:$A$500,0)),""))</f>
        <v/>
      </c>
      <c r="G1688" s="8">
        <f>IF(F1688="ocorrência","VP",IF(F1688="sem ocorrência","FP",""))</f>
        <v/>
      </c>
      <c r="H1688" s="7" t="n"/>
      <c r="I1688" s="8">
        <f>IF(H1688&lt;&gt;"",H1688,G1688)</f>
        <v/>
      </c>
    </row>
    <row r="1689">
      <c r="A1689" s="9" t="n"/>
      <c r="B1689" s="9" t="n"/>
      <c r="C1689" s="9" t="n"/>
      <c r="D1689" s="9" t="n"/>
      <c r="E1689" s="9" t="n"/>
      <c r="F1689" s="8">
        <f>IF(A1689="","",IFERROR(INDEX(Testes!$N$2:$N$500,MATCH(A1689,Testes!$A$2:$A$500,0)),""))</f>
        <v/>
      </c>
      <c r="G1689" s="8">
        <f>IF(F1689="ocorrência","VP",IF(F1689="sem ocorrência","FP",""))</f>
        <v/>
      </c>
      <c r="H1689" s="7" t="n"/>
      <c r="I1689" s="8">
        <f>IF(H1689&lt;&gt;"",H1689,G1689)</f>
        <v/>
      </c>
    </row>
    <row r="1690">
      <c r="A1690" s="9" t="n"/>
      <c r="B1690" s="9" t="n"/>
      <c r="C1690" s="9" t="n"/>
      <c r="D1690" s="9" t="n"/>
      <c r="E1690" s="9" t="n"/>
      <c r="F1690" s="8">
        <f>IF(A1690="","",IFERROR(INDEX(Testes!$N$2:$N$500,MATCH(A1690,Testes!$A$2:$A$500,0)),""))</f>
        <v/>
      </c>
      <c r="G1690" s="8">
        <f>IF(F1690="ocorrência","VP",IF(F1690="sem ocorrência","FP",""))</f>
        <v/>
      </c>
      <c r="H1690" s="7" t="n"/>
      <c r="I1690" s="8">
        <f>IF(H1690&lt;&gt;"",H1690,G1690)</f>
        <v/>
      </c>
    </row>
    <row r="1691">
      <c r="A1691" s="9" t="n"/>
      <c r="B1691" s="9" t="n"/>
      <c r="C1691" s="9" t="n"/>
      <c r="D1691" s="9" t="n"/>
      <c r="E1691" s="9" t="n"/>
      <c r="F1691" s="8">
        <f>IF(A1691="","",IFERROR(INDEX(Testes!$N$2:$N$500,MATCH(A1691,Testes!$A$2:$A$500,0)),""))</f>
        <v/>
      </c>
      <c r="G1691" s="8">
        <f>IF(F1691="ocorrência","VP",IF(F1691="sem ocorrência","FP",""))</f>
        <v/>
      </c>
      <c r="H1691" s="7" t="n"/>
      <c r="I1691" s="8">
        <f>IF(H1691&lt;&gt;"",H1691,G1691)</f>
        <v/>
      </c>
    </row>
    <row r="1692">
      <c r="A1692" s="9" t="n"/>
      <c r="B1692" s="9" t="n"/>
      <c r="C1692" s="9" t="n"/>
      <c r="D1692" s="9" t="n"/>
      <c r="E1692" s="9" t="n"/>
      <c r="F1692" s="8">
        <f>IF(A1692="","",IFERROR(INDEX(Testes!$N$2:$N$500,MATCH(A1692,Testes!$A$2:$A$500,0)),""))</f>
        <v/>
      </c>
      <c r="G1692" s="8">
        <f>IF(F1692="ocorrência","VP",IF(F1692="sem ocorrência","FP",""))</f>
        <v/>
      </c>
      <c r="H1692" s="7" t="n"/>
      <c r="I1692" s="8">
        <f>IF(H1692&lt;&gt;"",H1692,G1692)</f>
        <v/>
      </c>
    </row>
    <row r="1693">
      <c r="A1693" s="9" t="n"/>
      <c r="B1693" s="9" t="n"/>
      <c r="C1693" s="9" t="n"/>
      <c r="D1693" s="9" t="n"/>
      <c r="E1693" s="9" t="n"/>
      <c r="F1693" s="8">
        <f>IF(A1693="","",IFERROR(INDEX(Testes!$N$2:$N$500,MATCH(A1693,Testes!$A$2:$A$500,0)),""))</f>
        <v/>
      </c>
      <c r="G1693" s="8">
        <f>IF(F1693="ocorrência","VP",IF(F1693="sem ocorrência","FP",""))</f>
        <v/>
      </c>
      <c r="H1693" s="7" t="n"/>
      <c r="I1693" s="8">
        <f>IF(H1693&lt;&gt;"",H1693,G1693)</f>
        <v/>
      </c>
    </row>
    <row r="1694">
      <c r="A1694" s="9" t="n"/>
      <c r="B1694" s="9" t="n"/>
      <c r="C1694" s="9" t="n"/>
      <c r="D1694" s="9" t="n"/>
      <c r="E1694" s="9" t="n"/>
      <c r="F1694" s="8">
        <f>IF(A1694="","",IFERROR(INDEX(Testes!$N$2:$N$500,MATCH(A1694,Testes!$A$2:$A$500,0)),""))</f>
        <v/>
      </c>
      <c r="G1694" s="8">
        <f>IF(F1694="ocorrência","VP",IF(F1694="sem ocorrência","FP",""))</f>
        <v/>
      </c>
      <c r="H1694" s="7" t="n"/>
      <c r="I1694" s="8">
        <f>IF(H1694&lt;&gt;"",H1694,G1694)</f>
        <v/>
      </c>
    </row>
    <row r="1695">
      <c r="A1695" s="9" t="n"/>
      <c r="B1695" s="9" t="n"/>
      <c r="C1695" s="9" t="n"/>
      <c r="D1695" s="9" t="n"/>
      <c r="E1695" s="9" t="n"/>
      <c r="F1695" s="8">
        <f>IF(A1695="","",IFERROR(INDEX(Testes!$N$2:$N$500,MATCH(A1695,Testes!$A$2:$A$500,0)),""))</f>
        <v/>
      </c>
      <c r="G1695" s="8">
        <f>IF(F1695="ocorrência","VP",IF(F1695="sem ocorrência","FP",""))</f>
        <v/>
      </c>
      <c r="H1695" s="7" t="n"/>
      <c r="I1695" s="8">
        <f>IF(H1695&lt;&gt;"",H1695,G1695)</f>
        <v/>
      </c>
    </row>
    <row r="1696">
      <c r="A1696" s="9" t="n"/>
      <c r="B1696" s="9" t="n"/>
      <c r="C1696" s="9" t="n"/>
      <c r="D1696" s="9" t="n"/>
      <c r="E1696" s="9" t="n"/>
      <c r="F1696" s="8">
        <f>IF(A1696="","",IFERROR(INDEX(Testes!$N$2:$N$500,MATCH(A1696,Testes!$A$2:$A$500,0)),""))</f>
        <v/>
      </c>
      <c r="G1696" s="8">
        <f>IF(F1696="ocorrência","VP",IF(F1696="sem ocorrência","FP",""))</f>
        <v/>
      </c>
      <c r="H1696" s="7" t="n"/>
      <c r="I1696" s="8">
        <f>IF(H1696&lt;&gt;"",H1696,G1696)</f>
        <v/>
      </c>
    </row>
    <row r="1697">
      <c r="A1697" s="9" t="n"/>
      <c r="B1697" s="9" t="n"/>
      <c r="C1697" s="9" t="n"/>
      <c r="D1697" s="9" t="n"/>
      <c r="E1697" s="9" t="n"/>
      <c r="F1697" s="8">
        <f>IF(A1697="","",IFERROR(INDEX(Testes!$N$2:$N$500,MATCH(A1697,Testes!$A$2:$A$500,0)),""))</f>
        <v/>
      </c>
      <c r="G1697" s="8">
        <f>IF(F1697="ocorrência","VP",IF(F1697="sem ocorrência","FP",""))</f>
        <v/>
      </c>
      <c r="H1697" s="7" t="n"/>
      <c r="I1697" s="8">
        <f>IF(H1697&lt;&gt;"",H1697,G1697)</f>
        <v/>
      </c>
    </row>
    <row r="1698">
      <c r="A1698" s="9" t="n"/>
      <c r="B1698" s="9" t="n"/>
      <c r="C1698" s="9" t="n"/>
      <c r="D1698" s="9" t="n"/>
      <c r="E1698" s="9" t="n"/>
      <c r="F1698" s="8">
        <f>IF(A1698="","",IFERROR(INDEX(Testes!$N$2:$N$500,MATCH(A1698,Testes!$A$2:$A$500,0)),""))</f>
        <v/>
      </c>
      <c r="G1698" s="8">
        <f>IF(F1698="ocorrência","VP",IF(F1698="sem ocorrência","FP",""))</f>
        <v/>
      </c>
      <c r="H1698" s="7" t="n"/>
      <c r="I1698" s="8">
        <f>IF(H1698&lt;&gt;"",H1698,G1698)</f>
        <v/>
      </c>
    </row>
    <row r="1699">
      <c r="A1699" s="9" t="n"/>
      <c r="B1699" s="9" t="n"/>
      <c r="C1699" s="9" t="n"/>
      <c r="D1699" s="9" t="n"/>
      <c r="E1699" s="9" t="n"/>
      <c r="F1699" s="8">
        <f>IF(A1699="","",IFERROR(INDEX(Testes!$N$2:$N$500,MATCH(A1699,Testes!$A$2:$A$500,0)),""))</f>
        <v/>
      </c>
      <c r="G1699" s="8">
        <f>IF(F1699="ocorrência","VP",IF(F1699="sem ocorrência","FP",""))</f>
        <v/>
      </c>
      <c r="H1699" s="7" t="n"/>
      <c r="I1699" s="8">
        <f>IF(H1699&lt;&gt;"",H1699,G1699)</f>
        <v/>
      </c>
    </row>
    <row r="1700">
      <c r="A1700" s="9" t="n"/>
      <c r="B1700" s="9" t="n"/>
      <c r="C1700" s="9" t="n"/>
      <c r="D1700" s="9" t="n"/>
      <c r="E1700" s="9" t="n"/>
      <c r="F1700" s="8">
        <f>IF(A1700="","",IFERROR(INDEX(Testes!$N$2:$N$500,MATCH(A1700,Testes!$A$2:$A$500,0)),""))</f>
        <v/>
      </c>
      <c r="G1700" s="8">
        <f>IF(F1700="ocorrência","VP",IF(F1700="sem ocorrência","FP",""))</f>
        <v/>
      </c>
      <c r="H1700" s="7" t="n"/>
      <c r="I1700" s="8">
        <f>IF(H1700&lt;&gt;"",H1700,G1700)</f>
        <v/>
      </c>
    </row>
    <row r="1701">
      <c r="A1701" s="9" t="n"/>
      <c r="B1701" s="9" t="n"/>
      <c r="C1701" s="9" t="n"/>
      <c r="D1701" s="9" t="n"/>
      <c r="E1701" s="9" t="n"/>
      <c r="F1701" s="8">
        <f>IF(A1701="","",IFERROR(INDEX(Testes!$N$2:$N$500,MATCH(A1701,Testes!$A$2:$A$500,0)),""))</f>
        <v/>
      </c>
      <c r="G1701" s="8">
        <f>IF(F1701="ocorrência","VP",IF(F1701="sem ocorrência","FP",""))</f>
        <v/>
      </c>
      <c r="H1701" s="7" t="n"/>
      <c r="I1701" s="8">
        <f>IF(H1701&lt;&gt;"",H1701,G1701)</f>
        <v/>
      </c>
    </row>
    <row r="1702">
      <c r="A1702" s="9" t="n"/>
      <c r="B1702" s="9" t="n"/>
      <c r="C1702" s="9" t="n"/>
      <c r="D1702" s="9" t="n"/>
      <c r="E1702" s="9" t="n"/>
      <c r="F1702" s="8">
        <f>IF(A1702="","",IFERROR(INDEX(Testes!$N$2:$N$500,MATCH(A1702,Testes!$A$2:$A$500,0)),""))</f>
        <v/>
      </c>
      <c r="G1702" s="8">
        <f>IF(F1702="ocorrência","VP",IF(F1702="sem ocorrência","FP",""))</f>
        <v/>
      </c>
      <c r="H1702" s="7" t="n"/>
      <c r="I1702" s="8">
        <f>IF(H1702&lt;&gt;"",H1702,G1702)</f>
        <v/>
      </c>
    </row>
    <row r="1703">
      <c r="A1703" s="9" t="n"/>
      <c r="B1703" s="9" t="n"/>
      <c r="C1703" s="9" t="n"/>
      <c r="D1703" s="9" t="n"/>
      <c r="E1703" s="9" t="n"/>
      <c r="F1703" s="8">
        <f>IF(A1703="","",IFERROR(INDEX(Testes!$N$2:$N$500,MATCH(A1703,Testes!$A$2:$A$500,0)),""))</f>
        <v/>
      </c>
      <c r="G1703" s="8">
        <f>IF(F1703="ocorrência","VP",IF(F1703="sem ocorrência","FP",""))</f>
        <v/>
      </c>
      <c r="H1703" s="7" t="n"/>
      <c r="I1703" s="8">
        <f>IF(H1703&lt;&gt;"",H1703,G1703)</f>
        <v/>
      </c>
    </row>
    <row r="1704">
      <c r="A1704" s="9" t="n"/>
      <c r="B1704" s="9" t="n"/>
      <c r="C1704" s="9" t="n"/>
      <c r="D1704" s="9" t="n"/>
      <c r="E1704" s="9" t="n"/>
      <c r="F1704" s="8">
        <f>IF(A1704="","",IFERROR(INDEX(Testes!$N$2:$N$500,MATCH(A1704,Testes!$A$2:$A$500,0)),""))</f>
        <v/>
      </c>
      <c r="G1704" s="8">
        <f>IF(F1704="ocorrência","VP",IF(F1704="sem ocorrência","FP",""))</f>
        <v/>
      </c>
      <c r="H1704" s="7" t="n"/>
      <c r="I1704" s="8">
        <f>IF(H1704&lt;&gt;"",H1704,G1704)</f>
        <v/>
      </c>
    </row>
    <row r="1705">
      <c r="A1705" s="9" t="n"/>
      <c r="B1705" s="9" t="n"/>
      <c r="C1705" s="9" t="n"/>
      <c r="D1705" s="9" t="n"/>
      <c r="E1705" s="9" t="n"/>
      <c r="F1705" s="8">
        <f>IF(A1705="","",IFERROR(INDEX(Testes!$N$2:$N$500,MATCH(A1705,Testes!$A$2:$A$500,0)),""))</f>
        <v/>
      </c>
      <c r="G1705" s="8">
        <f>IF(F1705="ocorrência","VP",IF(F1705="sem ocorrência","FP",""))</f>
        <v/>
      </c>
      <c r="H1705" s="7" t="n"/>
      <c r="I1705" s="8">
        <f>IF(H1705&lt;&gt;"",H1705,G1705)</f>
        <v/>
      </c>
    </row>
    <row r="1706">
      <c r="A1706" s="9" t="n"/>
      <c r="B1706" s="9" t="n"/>
      <c r="C1706" s="9" t="n"/>
      <c r="D1706" s="9" t="n"/>
      <c r="E1706" s="9" t="n"/>
      <c r="F1706" s="8">
        <f>IF(A1706="","",IFERROR(INDEX(Testes!$N$2:$N$500,MATCH(A1706,Testes!$A$2:$A$500,0)),""))</f>
        <v/>
      </c>
      <c r="G1706" s="8">
        <f>IF(F1706="ocorrência","VP",IF(F1706="sem ocorrência","FP",""))</f>
        <v/>
      </c>
      <c r="H1706" s="7" t="n"/>
      <c r="I1706" s="8">
        <f>IF(H1706&lt;&gt;"",H1706,G1706)</f>
        <v/>
      </c>
    </row>
    <row r="1707">
      <c r="A1707" s="9" t="n"/>
      <c r="B1707" s="9" t="n"/>
      <c r="C1707" s="9" t="n"/>
      <c r="D1707" s="9" t="n"/>
      <c r="E1707" s="9" t="n"/>
      <c r="F1707" s="8">
        <f>IF(A1707="","",IFERROR(INDEX(Testes!$N$2:$N$500,MATCH(A1707,Testes!$A$2:$A$500,0)),""))</f>
        <v/>
      </c>
      <c r="G1707" s="8">
        <f>IF(F1707="ocorrência","VP",IF(F1707="sem ocorrência","FP",""))</f>
        <v/>
      </c>
      <c r="H1707" s="7" t="n"/>
      <c r="I1707" s="8">
        <f>IF(H1707&lt;&gt;"",H1707,G1707)</f>
        <v/>
      </c>
    </row>
    <row r="1708">
      <c r="A1708" s="9" t="n"/>
      <c r="B1708" s="9" t="n"/>
      <c r="C1708" s="9" t="n"/>
      <c r="D1708" s="9" t="n"/>
      <c r="E1708" s="9" t="n"/>
      <c r="F1708" s="8">
        <f>IF(A1708="","",IFERROR(INDEX(Testes!$N$2:$N$500,MATCH(A1708,Testes!$A$2:$A$500,0)),""))</f>
        <v/>
      </c>
      <c r="G1708" s="8">
        <f>IF(F1708="ocorrência","VP",IF(F1708="sem ocorrência","FP",""))</f>
        <v/>
      </c>
      <c r="H1708" s="7" t="n"/>
      <c r="I1708" s="8">
        <f>IF(H1708&lt;&gt;"",H1708,G1708)</f>
        <v/>
      </c>
    </row>
    <row r="1709">
      <c r="A1709" s="9" t="n"/>
      <c r="B1709" s="9" t="n"/>
      <c r="C1709" s="9" t="n"/>
      <c r="D1709" s="9" t="n"/>
      <c r="E1709" s="9" t="n"/>
      <c r="F1709" s="8">
        <f>IF(A1709="","",IFERROR(INDEX(Testes!$N$2:$N$500,MATCH(A1709,Testes!$A$2:$A$500,0)),""))</f>
        <v/>
      </c>
      <c r="G1709" s="8">
        <f>IF(F1709="ocorrência","VP",IF(F1709="sem ocorrência","FP",""))</f>
        <v/>
      </c>
      <c r="H1709" s="7" t="n"/>
      <c r="I1709" s="8">
        <f>IF(H1709&lt;&gt;"",H1709,G1709)</f>
        <v/>
      </c>
    </row>
    <row r="1710">
      <c r="A1710" s="9" t="n"/>
      <c r="B1710" s="9" t="n"/>
      <c r="C1710" s="9" t="n"/>
      <c r="D1710" s="9" t="n"/>
      <c r="E1710" s="9" t="n"/>
      <c r="F1710" s="8">
        <f>IF(A1710="","",IFERROR(INDEX(Testes!$N$2:$N$500,MATCH(A1710,Testes!$A$2:$A$500,0)),""))</f>
        <v/>
      </c>
      <c r="G1710" s="8">
        <f>IF(F1710="ocorrência","VP",IF(F1710="sem ocorrência","FP",""))</f>
        <v/>
      </c>
      <c r="H1710" s="7" t="n"/>
      <c r="I1710" s="8">
        <f>IF(H1710&lt;&gt;"",H1710,G1710)</f>
        <v/>
      </c>
    </row>
    <row r="1711">
      <c r="A1711" s="9" t="n"/>
      <c r="B1711" s="9" t="n"/>
      <c r="C1711" s="9" t="n"/>
      <c r="D1711" s="9" t="n"/>
      <c r="E1711" s="9" t="n"/>
      <c r="F1711" s="8">
        <f>IF(A1711="","",IFERROR(INDEX(Testes!$N$2:$N$500,MATCH(A1711,Testes!$A$2:$A$500,0)),""))</f>
        <v/>
      </c>
      <c r="G1711" s="8">
        <f>IF(F1711="ocorrência","VP",IF(F1711="sem ocorrência","FP",""))</f>
        <v/>
      </c>
      <c r="H1711" s="7" t="n"/>
      <c r="I1711" s="8">
        <f>IF(H1711&lt;&gt;"",H1711,G1711)</f>
        <v/>
      </c>
    </row>
    <row r="1712">
      <c r="A1712" s="9" t="n"/>
      <c r="B1712" s="9" t="n"/>
      <c r="C1712" s="9" t="n"/>
      <c r="D1712" s="9" t="n"/>
      <c r="E1712" s="9" t="n"/>
      <c r="F1712" s="8">
        <f>IF(A1712="","",IFERROR(INDEX(Testes!$N$2:$N$500,MATCH(A1712,Testes!$A$2:$A$500,0)),""))</f>
        <v/>
      </c>
      <c r="G1712" s="8">
        <f>IF(F1712="ocorrência","VP",IF(F1712="sem ocorrência","FP",""))</f>
        <v/>
      </c>
      <c r="H1712" s="7" t="n"/>
      <c r="I1712" s="8">
        <f>IF(H1712&lt;&gt;"",H1712,G1712)</f>
        <v/>
      </c>
    </row>
    <row r="1713">
      <c r="A1713" s="9" t="n"/>
      <c r="B1713" s="9" t="n"/>
      <c r="C1713" s="9" t="n"/>
      <c r="D1713" s="9" t="n"/>
      <c r="E1713" s="9" t="n"/>
      <c r="F1713" s="8">
        <f>IF(A1713="","",IFERROR(INDEX(Testes!$N$2:$N$500,MATCH(A1713,Testes!$A$2:$A$500,0)),""))</f>
        <v/>
      </c>
      <c r="G1713" s="8">
        <f>IF(F1713="ocorrência","VP",IF(F1713="sem ocorrência","FP",""))</f>
        <v/>
      </c>
      <c r="H1713" s="7" t="n"/>
      <c r="I1713" s="8">
        <f>IF(H1713&lt;&gt;"",H1713,G1713)</f>
        <v/>
      </c>
    </row>
    <row r="1714">
      <c r="A1714" s="9" t="n"/>
      <c r="B1714" s="9" t="n"/>
      <c r="C1714" s="9" t="n"/>
      <c r="D1714" s="9" t="n"/>
      <c r="E1714" s="9" t="n"/>
      <c r="F1714" s="8">
        <f>IF(A1714="","",IFERROR(INDEX(Testes!$N$2:$N$500,MATCH(A1714,Testes!$A$2:$A$500,0)),""))</f>
        <v/>
      </c>
      <c r="G1714" s="8">
        <f>IF(F1714="ocorrência","VP",IF(F1714="sem ocorrência","FP",""))</f>
        <v/>
      </c>
      <c r="H1714" s="7" t="n"/>
      <c r="I1714" s="8">
        <f>IF(H1714&lt;&gt;"",H1714,G1714)</f>
        <v/>
      </c>
    </row>
    <row r="1715">
      <c r="A1715" s="9" t="n"/>
      <c r="B1715" s="9" t="n"/>
      <c r="C1715" s="9" t="n"/>
      <c r="D1715" s="9" t="n"/>
      <c r="E1715" s="9" t="n"/>
      <c r="F1715" s="8">
        <f>IF(A1715="","",IFERROR(INDEX(Testes!$N$2:$N$500,MATCH(A1715,Testes!$A$2:$A$500,0)),""))</f>
        <v/>
      </c>
      <c r="G1715" s="8">
        <f>IF(F1715="ocorrência","VP",IF(F1715="sem ocorrência","FP",""))</f>
        <v/>
      </c>
      <c r="H1715" s="7" t="n"/>
      <c r="I1715" s="8">
        <f>IF(H1715&lt;&gt;"",H1715,G1715)</f>
        <v/>
      </c>
    </row>
    <row r="1716">
      <c r="A1716" s="9" t="n"/>
      <c r="B1716" s="9" t="n"/>
      <c r="C1716" s="9" t="n"/>
      <c r="D1716" s="9" t="n"/>
      <c r="E1716" s="9" t="n"/>
      <c r="F1716" s="8">
        <f>IF(A1716="","",IFERROR(INDEX(Testes!$N$2:$N$500,MATCH(A1716,Testes!$A$2:$A$500,0)),""))</f>
        <v/>
      </c>
      <c r="G1716" s="8">
        <f>IF(F1716="ocorrência","VP",IF(F1716="sem ocorrência","FP",""))</f>
        <v/>
      </c>
      <c r="H1716" s="7" t="n"/>
      <c r="I1716" s="8">
        <f>IF(H1716&lt;&gt;"",H1716,G1716)</f>
        <v/>
      </c>
    </row>
    <row r="1717">
      <c r="A1717" s="9" t="n"/>
      <c r="B1717" s="9" t="n"/>
      <c r="C1717" s="9" t="n"/>
      <c r="D1717" s="9" t="n"/>
      <c r="E1717" s="9" t="n"/>
      <c r="F1717" s="8">
        <f>IF(A1717="","",IFERROR(INDEX(Testes!$N$2:$N$500,MATCH(A1717,Testes!$A$2:$A$500,0)),""))</f>
        <v/>
      </c>
      <c r="G1717" s="8">
        <f>IF(F1717="ocorrência","VP",IF(F1717="sem ocorrência","FP",""))</f>
        <v/>
      </c>
      <c r="H1717" s="7" t="n"/>
      <c r="I1717" s="8">
        <f>IF(H1717&lt;&gt;"",H1717,G1717)</f>
        <v/>
      </c>
    </row>
    <row r="1718">
      <c r="A1718" s="9" t="n"/>
      <c r="B1718" s="9" t="n"/>
      <c r="C1718" s="9" t="n"/>
      <c r="D1718" s="9" t="n"/>
      <c r="E1718" s="9" t="n"/>
      <c r="F1718" s="8">
        <f>IF(A1718="","",IFERROR(INDEX(Testes!$N$2:$N$500,MATCH(A1718,Testes!$A$2:$A$500,0)),""))</f>
        <v/>
      </c>
      <c r="G1718" s="8">
        <f>IF(F1718="ocorrência","VP",IF(F1718="sem ocorrência","FP",""))</f>
        <v/>
      </c>
      <c r="H1718" s="7" t="n"/>
      <c r="I1718" s="8">
        <f>IF(H1718&lt;&gt;"",H1718,G1718)</f>
        <v/>
      </c>
    </row>
    <row r="1719">
      <c r="A1719" s="9" t="n"/>
      <c r="B1719" s="9" t="n"/>
      <c r="C1719" s="9" t="n"/>
      <c r="D1719" s="9" t="n"/>
      <c r="E1719" s="9" t="n"/>
      <c r="F1719" s="8">
        <f>IF(A1719="","",IFERROR(INDEX(Testes!$N$2:$N$500,MATCH(A1719,Testes!$A$2:$A$500,0)),""))</f>
        <v/>
      </c>
      <c r="G1719" s="8">
        <f>IF(F1719="ocorrência","VP",IF(F1719="sem ocorrência","FP",""))</f>
        <v/>
      </c>
      <c r="H1719" s="7" t="n"/>
      <c r="I1719" s="8">
        <f>IF(H1719&lt;&gt;"",H1719,G1719)</f>
        <v/>
      </c>
    </row>
    <row r="1720">
      <c r="A1720" s="9" t="n"/>
      <c r="B1720" s="9" t="n"/>
      <c r="C1720" s="9" t="n"/>
      <c r="D1720" s="9" t="n"/>
      <c r="E1720" s="9" t="n"/>
      <c r="F1720" s="8">
        <f>IF(A1720="","",IFERROR(INDEX(Testes!$N$2:$N$500,MATCH(A1720,Testes!$A$2:$A$500,0)),""))</f>
        <v/>
      </c>
      <c r="G1720" s="8">
        <f>IF(F1720="ocorrência","VP",IF(F1720="sem ocorrência","FP",""))</f>
        <v/>
      </c>
      <c r="H1720" s="7" t="n"/>
      <c r="I1720" s="8">
        <f>IF(H1720&lt;&gt;"",H1720,G1720)</f>
        <v/>
      </c>
    </row>
    <row r="1721">
      <c r="A1721" s="9" t="n"/>
      <c r="B1721" s="9" t="n"/>
      <c r="C1721" s="9" t="n"/>
      <c r="D1721" s="9" t="n"/>
      <c r="E1721" s="9" t="n"/>
      <c r="F1721" s="8">
        <f>IF(A1721="","",IFERROR(INDEX(Testes!$N$2:$N$500,MATCH(A1721,Testes!$A$2:$A$500,0)),""))</f>
        <v/>
      </c>
      <c r="G1721" s="8">
        <f>IF(F1721="ocorrência","VP",IF(F1721="sem ocorrência","FP",""))</f>
        <v/>
      </c>
      <c r="H1721" s="7" t="n"/>
      <c r="I1721" s="8">
        <f>IF(H1721&lt;&gt;"",H1721,G1721)</f>
        <v/>
      </c>
    </row>
    <row r="1722">
      <c r="A1722" s="9" t="n"/>
      <c r="B1722" s="9" t="n"/>
      <c r="C1722" s="9" t="n"/>
      <c r="D1722" s="9" t="n"/>
      <c r="E1722" s="9" t="n"/>
      <c r="F1722" s="8">
        <f>IF(A1722="","",IFERROR(INDEX(Testes!$N$2:$N$500,MATCH(A1722,Testes!$A$2:$A$500,0)),""))</f>
        <v/>
      </c>
      <c r="G1722" s="8">
        <f>IF(F1722="ocorrência","VP",IF(F1722="sem ocorrência","FP",""))</f>
        <v/>
      </c>
      <c r="H1722" s="7" t="n"/>
      <c r="I1722" s="8">
        <f>IF(H1722&lt;&gt;"",H1722,G1722)</f>
        <v/>
      </c>
    </row>
    <row r="1723">
      <c r="A1723" s="9" t="n"/>
      <c r="B1723" s="9" t="n"/>
      <c r="C1723" s="9" t="n"/>
      <c r="D1723" s="9" t="n"/>
      <c r="E1723" s="9" t="n"/>
      <c r="F1723" s="8">
        <f>IF(A1723="","",IFERROR(INDEX(Testes!$N$2:$N$500,MATCH(A1723,Testes!$A$2:$A$500,0)),""))</f>
        <v/>
      </c>
      <c r="G1723" s="8">
        <f>IF(F1723="ocorrência","VP",IF(F1723="sem ocorrência","FP",""))</f>
        <v/>
      </c>
      <c r="H1723" s="7" t="n"/>
      <c r="I1723" s="8">
        <f>IF(H1723&lt;&gt;"",H1723,G1723)</f>
        <v/>
      </c>
    </row>
    <row r="1724">
      <c r="A1724" s="9" t="n"/>
      <c r="B1724" s="9" t="n"/>
      <c r="C1724" s="9" t="n"/>
      <c r="D1724" s="9" t="n"/>
      <c r="E1724" s="9" t="n"/>
      <c r="F1724" s="8">
        <f>IF(A1724="","",IFERROR(INDEX(Testes!$N$2:$N$500,MATCH(A1724,Testes!$A$2:$A$500,0)),""))</f>
        <v/>
      </c>
      <c r="G1724" s="8">
        <f>IF(F1724="ocorrência","VP",IF(F1724="sem ocorrência","FP",""))</f>
        <v/>
      </c>
      <c r="H1724" s="7" t="n"/>
      <c r="I1724" s="8">
        <f>IF(H1724&lt;&gt;"",H1724,G1724)</f>
        <v/>
      </c>
    </row>
    <row r="1725">
      <c r="A1725" s="9" t="n"/>
      <c r="B1725" s="9" t="n"/>
      <c r="C1725" s="9" t="n"/>
      <c r="D1725" s="9" t="n"/>
      <c r="E1725" s="9" t="n"/>
      <c r="F1725" s="8">
        <f>IF(A1725="","",IFERROR(INDEX(Testes!$N$2:$N$500,MATCH(A1725,Testes!$A$2:$A$500,0)),""))</f>
        <v/>
      </c>
      <c r="G1725" s="8">
        <f>IF(F1725="ocorrência","VP",IF(F1725="sem ocorrência","FP",""))</f>
        <v/>
      </c>
      <c r="H1725" s="7" t="n"/>
      <c r="I1725" s="8">
        <f>IF(H1725&lt;&gt;"",H1725,G1725)</f>
        <v/>
      </c>
    </row>
    <row r="1726">
      <c r="A1726" s="9" t="n"/>
      <c r="B1726" s="9" t="n"/>
      <c r="C1726" s="9" t="n"/>
      <c r="D1726" s="9" t="n"/>
      <c r="E1726" s="9" t="n"/>
      <c r="F1726" s="8">
        <f>IF(A1726="","",IFERROR(INDEX(Testes!$N$2:$N$500,MATCH(A1726,Testes!$A$2:$A$500,0)),""))</f>
        <v/>
      </c>
      <c r="G1726" s="8">
        <f>IF(F1726="ocorrência","VP",IF(F1726="sem ocorrência","FP",""))</f>
        <v/>
      </c>
      <c r="H1726" s="7" t="n"/>
      <c r="I1726" s="8">
        <f>IF(H1726&lt;&gt;"",H1726,G1726)</f>
        <v/>
      </c>
    </row>
    <row r="1727">
      <c r="A1727" s="9" t="n"/>
      <c r="B1727" s="9" t="n"/>
      <c r="C1727" s="9" t="n"/>
      <c r="D1727" s="9" t="n"/>
      <c r="E1727" s="9" t="n"/>
      <c r="F1727" s="8">
        <f>IF(A1727="","",IFERROR(INDEX(Testes!$N$2:$N$500,MATCH(A1727,Testes!$A$2:$A$500,0)),""))</f>
        <v/>
      </c>
      <c r="G1727" s="8">
        <f>IF(F1727="ocorrência","VP",IF(F1727="sem ocorrência","FP",""))</f>
        <v/>
      </c>
      <c r="H1727" s="7" t="n"/>
      <c r="I1727" s="8">
        <f>IF(H1727&lt;&gt;"",H1727,G1727)</f>
        <v/>
      </c>
    </row>
    <row r="1728">
      <c r="A1728" s="9" t="n"/>
      <c r="B1728" s="9" t="n"/>
      <c r="C1728" s="9" t="n"/>
      <c r="D1728" s="9" t="n"/>
      <c r="E1728" s="9" t="n"/>
      <c r="F1728" s="8">
        <f>IF(A1728="","",IFERROR(INDEX(Testes!$N$2:$N$500,MATCH(A1728,Testes!$A$2:$A$500,0)),""))</f>
        <v/>
      </c>
      <c r="G1728" s="8">
        <f>IF(F1728="ocorrência","VP",IF(F1728="sem ocorrência","FP",""))</f>
        <v/>
      </c>
      <c r="H1728" s="7" t="n"/>
      <c r="I1728" s="8">
        <f>IF(H1728&lt;&gt;"",H1728,G1728)</f>
        <v/>
      </c>
    </row>
    <row r="1729">
      <c r="A1729" s="9" t="n"/>
      <c r="B1729" s="9" t="n"/>
      <c r="C1729" s="9" t="n"/>
      <c r="D1729" s="9" t="n"/>
      <c r="E1729" s="9" t="n"/>
      <c r="F1729" s="8">
        <f>IF(A1729="","",IFERROR(INDEX(Testes!$N$2:$N$500,MATCH(A1729,Testes!$A$2:$A$500,0)),""))</f>
        <v/>
      </c>
      <c r="G1729" s="8">
        <f>IF(F1729="ocorrência","VP",IF(F1729="sem ocorrência","FP",""))</f>
        <v/>
      </c>
      <c r="H1729" s="7" t="n"/>
      <c r="I1729" s="8">
        <f>IF(H1729&lt;&gt;"",H1729,G1729)</f>
        <v/>
      </c>
    </row>
    <row r="1730">
      <c r="A1730" s="9" t="n"/>
      <c r="B1730" s="9" t="n"/>
      <c r="C1730" s="9" t="n"/>
      <c r="D1730" s="9" t="n"/>
      <c r="E1730" s="9" t="n"/>
      <c r="F1730" s="8">
        <f>IF(A1730="","",IFERROR(INDEX(Testes!$N$2:$N$500,MATCH(A1730,Testes!$A$2:$A$500,0)),""))</f>
        <v/>
      </c>
      <c r="G1730" s="8">
        <f>IF(F1730="ocorrência","VP",IF(F1730="sem ocorrência","FP",""))</f>
        <v/>
      </c>
      <c r="H1730" s="7" t="n"/>
      <c r="I1730" s="8">
        <f>IF(H1730&lt;&gt;"",H1730,G1730)</f>
        <v/>
      </c>
    </row>
    <row r="1731">
      <c r="A1731" s="9" t="n"/>
      <c r="B1731" s="9" t="n"/>
      <c r="C1731" s="9" t="n"/>
      <c r="D1731" s="9" t="n"/>
      <c r="E1731" s="9" t="n"/>
      <c r="F1731" s="8">
        <f>IF(A1731="","",IFERROR(INDEX(Testes!$N$2:$N$500,MATCH(A1731,Testes!$A$2:$A$500,0)),""))</f>
        <v/>
      </c>
      <c r="G1731" s="8">
        <f>IF(F1731="ocorrência","VP",IF(F1731="sem ocorrência","FP",""))</f>
        <v/>
      </c>
      <c r="H1731" s="7" t="n"/>
      <c r="I1731" s="8">
        <f>IF(H1731&lt;&gt;"",H1731,G1731)</f>
        <v/>
      </c>
    </row>
    <row r="1732">
      <c r="A1732" s="9" t="n"/>
      <c r="B1732" s="9" t="n"/>
      <c r="C1732" s="9" t="n"/>
      <c r="D1732" s="9" t="n"/>
      <c r="E1732" s="9" t="n"/>
      <c r="F1732" s="8">
        <f>IF(A1732="","",IFERROR(INDEX(Testes!$N$2:$N$500,MATCH(A1732,Testes!$A$2:$A$500,0)),""))</f>
        <v/>
      </c>
      <c r="G1732" s="8">
        <f>IF(F1732="ocorrência","VP",IF(F1732="sem ocorrência","FP",""))</f>
        <v/>
      </c>
      <c r="H1732" s="7" t="n"/>
      <c r="I1732" s="8">
        <f>IF(H1732&lt;&gt;"",H1732,G1732)</f>
        <v/>
      </c>
    </row>
    <row r="1733">
      <c r="A1733" s="9" t="n"/>
      <c r="B1733" s="9" t="n"/>
      <c r="C1733" s="9" t="n"/>
      <c r="D1733" s="9" t="n"/>
      <c r="E1733" s="9" t="n"/>
      <c r="F1733" s="8">
        <f>IF(A1733="","",IFERROR(INDEX(Testes!$N$2:$N$500,MATCH(A1733,Testes!$A$2:$A$500,0)),""))</f>
        <v/>
      </c>
      <c r="G1733" s="8">
        <f>IF(F1733="ocorrência","VP",IF(F1733="sem ocorrência","FP",""))</f>
        <v/>
      </c>
      <c r="H1733" s="7" t="n"/>
      <c r="I1733" s="8">
        <f>IF(H1733&lt;&gt;"",H1733,G1733)</f>
        <v/>
      </c>
    </row>
    <row r="1734">
      <c r="A1734" s="9" t="n"/>
      <c r="B1734" s="9" t="n"/>
      <c r="C1734" s="9" t="n"/>
      <c r="D1734" s="9" t="n"/>
      <c r="E1734" s="9" t="n"/>
      <c r="F1734" s="8">
        <f>IF(A1734="","",IFERROR(INDEX(Testes!$N$2:$N$500,MATCH(A1734,Testes!$A$2:$A$500,0)),""))</f>
        <v/>
      </c>
      <c r="G1734" s="8">
        <f>IF(F1734="ocorrência","VP",IF(F1734="sem ocorrência","FP",""))</f>
        <v/>
      </c>
      <c r="H1734" s="7" t="n"/>
      <c r="I1734" s="8">
        <f>IF(H1734&lt;&gt;"",H1734,G1734)</f>
        <v/>
      </c>
    </row>
    <row r="1735">
      <c r="A1735" s="9" t="n"/>
      <c r="B1735" s="9" t="n"/>
      <c r="C1735" s="9" t="n"/>
      <c r="D1735" s="9" t="n"/>
      <c r="E1735" s="9" t="n"/>
      <c r="F1735" s="8">
        <f>IF(A1735="","",IFERROR(INDEX(Testes!$N$2:$N$500,MATCH(A1735,Testes!$A$2:$A$500,0)),""))</f>
        <v/>
      </c>
      <c r="G1735" s="8">
        <f>IF(F1735="ocorrência","VP",IF(F1735="sem ocorrência","FP",""))</f>
        <v/>
      </c>
      <c r="H1735" s="7" t="n"/>
      <c r="I1735" s="8">
        <f>IF(H1735&lt;&gt;"",H1735,G1735)</f>
        <v/>
      </c>
    </row>
    <row r="1736">
      <c r="A1736" s="9" t="n"/>
      <c r="B1736" s="9" t="n"/>
      <c r="C1736" s="9" t="n"/>
      <c r="D1736" s="9" t="n"/>
      <c r="E1736" s="9" t="n"/>
      <c r="F1736" s="8">
        <f>IF(A1736="","",IFERROR(INDEX(Testes!$N$2:$N$500,MATCH(A1736,Testes!$A$2:$A$500,0)),""))</f>
        <v/>
      </c>
      <c r="G1736" s="8">
        <f>IF(F1736="ocorrência","VP",IF(F1736="sem ocorrência","FP",""))</f>
        <v/>
      </c>
      <c r="H1736" s="7" t="n"/>
      <c r="I1736" s="8">
        <f>IF(H1736&lt;&gt;"",H1736,G1736)</f>
        <v/>
      </c>
    </row>
    <row r="1737">
      <c r="A1737" s="9" t="n"/>
      <c r="B1737" s="9" t="n"/>
      <c r="C1737" s="9" t="n"/>
      <c r="D1737" s="9" t="n"/>
      <c r="E1737" s="9" t="n"/>
      <c r="F1737" s="8">
        <f>IF(A1737="","",IFERROR(INDEX(Testes!$N$2:$N$500,MATCH(A1737,Testes!$A$2:$A$500,0)),""))</f>
        <v/>
      </c>
      <c r="G1737" s="8">
        <f>IF(F1737="ocorrência","VP",IF(F1737="sem ocorrência","FP",""))</f>
        <v/>
      </c>
      <c r="H1737" s="7" t="n"/>
      <c r="I1737" s="8">
        <f>IF(H1737&lt;&gt;"",H1737,G1737)</f>
        <v/>
      </c>
    </row>
    <row r="1738">
      <c r="A1738" s="9" t="n"/>
      <c r="B1738" s="9" t="n"/>
      <c r="C1738" s="9" t="n"/>
      <c r="D1738" s="9" t="n"/>
      <c r="E1738" s="9" t="n"/>
      <c r="F1738" s="8">
        <f>IF(A1738="","",IFERROR(INDEX(Testes!$N$2:$N$500,MATCH(A1738,Testes!$A$2:$A$500,0)),""))</f>
        <v/>
      </c>
      <c r="G1738" s="8">
        <f>IF(F1738="ocorrência","VP",IF(F1738="sem ocorrência","FP",""))</f>
        <v/>
      </c>
      <c r="H1738" s="7" t="n"/>
      <c r="I1738" s="8">
        <f>IF(H1738&lt;&gt;"",H1738,G1738)</f>
        <v/>
      </c>
    </row>
    <row r="1739">
      <c r="A1739" s="9" t="n"/>
      <c r="B1739" s="9" t="n"/>
      <c r="C1739" s="9" t="n"/>
      <c r="D1739" s="9" t="n"/>
      <c r="E1739" s="9" t="n"/>
      <c r="F1739" s="8">
        <f>IF(A1739="","",IFERROR(INDEX(Testes!$N$2:$N$500,MATCH(A1739,Testes!$A$2:$A$500,0)),""))</f>
        <v/>
      </c>
      <c r="G1739" s="8">
        <f>IF(F1739="ocorrência","VP",IF(F1739="sem ocorrência","FP",""))</f>
        <v/>
      </c>
      <c r="H1739" s="7" t="n"/>
      <c r="I1739" s="8">
        <f>IF(H1739&lt;&gt;"",H1739,G1739)</f>
        <v/>
      </c>
    </row>
    <row r="1740">
      <c r="A1740" s="9" t="n"/>
      <c r="B1740" s="9" t="n"/>
      <c r="C1740" s="9" t="n"/>
      <c r="D1740" s="9" t="n"/>
      <c r="E1740" s="9" t="n"/>
      <c r="F1740" s="8">
        <f>IF(A1740="","",IFERROR(INDEX(Testes!$N$2:$N$500,MATCH(A1740,Testes!$A$2:$A$500,0)),""))</f>
        <v/>
      </c>
      <c r="G1740" s="8">
        <f>IF(F1740="ocorrência","VP",IF(F1740="sem ocorrência","FP",""))</f>
        <v/>
      </c>
      <c r="H1740" s="7" t="n"/>
      <c r="I1740" s="8">
        <f>IF(H1740&lt;&gt;"",H1740,G1740)</f>
        <v/>
      </c>
    </row>
    <row r="1741">
      <c r="A1741" s="9" t="n"/>
      <c r="B1741" s="9" t="n"/>
      <c r="C1741" s="9" t="n"/>
      <c r="D1741" s="9" t="n"/>
      <c r="E1741" s="9" t="n"/>
      <c r="F1741" s="8">
        <f>IF(A1741="","",IFERROR(INDEX(Testes!$N$2:$N$500,MATCH(A1741,Testes!$A$2:$A$500,0)),""))</f>
        <v/>
      </c>
      <c r="G1741" s="8">
        <f>IF(F1741="ocorrência","VP",IF(F1741="sem ocorrência","FP",""))</f>
        <v/>
      </c>
      <c r="H1741" s="7" t="n"/>
      <c r="I1741" s="8">
        <f>IF(H1741&lt;&gt;"",H1741,G1741)</f>
        <v/>
      </c>
    </row>
    <row r="1742">
      <c r="A1742" s="9" t="n"/>
      <c r="B1742" s="9" t="n"/>
      <c r="C1742" s="9" t="n"/>
      <c r="D1742" s="9" t="n"/>
      <c r="E1742" s="9" t="n"/>
      <c r="F1742" s="8">
        <f>IF(A1742="","",IFERROR(INDEX(Testes!$N$2:$N$500,MATCH(A1742,Testes!$A$2:$A$500,0)),""))</f>
        <v/>
      </c>
      <c r="G1742" s="8">
        <f>IF(F1742="ocorrência","VP",IF(F1742="sem ocorrência","FP",""))</f>
        <v/>
      </c>
      <c r="H1742" s="7" t="n"/>
      <c r="I1742" s="8">
        <f>IF(H1742&lt;&gt;"",H1742,G1742)</f>
        <v/>
      </c>
    </row>
    <row r="1743">
      <c r="A1743" s="9" t="n"/>
      <c r="B1743" s="9" t="n"/>
      <c r="C1743" s="9" t="n"/>
      <c r="D1743" s="9" t="n"/>
      <c r="E1743" s="9" t="n"/>
      <c r="F1743" s="8">
        <f>IF(A1743="","",IFERROR(INDEX(Testes!$N$2:$N$500,MATCH(A1743,Testes!$A$2:$A$500,0)),""))</f>
        <v/>
      </c>
      <c r="G1743" s="8">
        <f>IF(F1743="ocorrência","VP",IF(F1743="sem ocorrência","FP",""))</f>
        <v/>
      </c>
      <c r="H1743" s="7" t="n"/>
      <c r="I1743" s="8">
        <f>IF(H1743&lt;&gt;"",H1743,G1743)</f>
        <v/>
      </c>
    </row>
    <row r="1744">
      <c r="A1744" s="9" t="n"/>
      <c r="B1744" s="9" t="n"/>
      <c r="C1744" s="9" t="n"/>
      <c r="D1744" s="9" t="n"/>
      <c r="E1744" s="9" t="n"/>
      <c r="F1744" s="8">
        <f>IF(A1744="","",IFERROR(INDEX(Testes!$N$2:$N$500,MATCH(A1744,Testes!$A$2:$A$500,0)),""))</f>
        <v/>
      </c>
      <c r="G1744" s="8">
        <f>IF(F1744="ocorrência","VP",IF(F1744="sem ocorrência","FP",""))</f>
        <v/>
      </c>
      <c r="H1744" s="7" t="n"/>
      <c r="I1744" s="8">
        <f>IF(H1744&lt;&gt;"",H1744,G1744)</f>
        <v/>
      </c>
    </row>
    <row r="1745">
      <c r="A1745" s="9" t="n"/>
      <c r="B1745" s="9" t="n"/>
      <c r="C1745" s="9" t="n"/>
      <c r="D1745" s="9" t="n"/>
      <c r="E1745" s="9" t="n"/>
      <c r="F1745" s="8">
        <f>IF(A1745="","",IFERROR(INDEX(Testes!$N$2:$N$500,MATCH(A1745,Testes!$A$2:$A$500,0)),""))</f>
        <v/>
      </c>
      <c r="G1745" s="8">
        <f>IF(F1745="ocorrência","VP",IF(F1745="sem ocorrência","FP",""))</f>
        <v/>
      </c>
      <c r="H1745" s="7" t="n"/>
      <c r="I1745" s="8">
        <f>IF(H1745&lt;&gt;"",H1745,G1745)</f>
        <v/>
      </c>
    </row>
    <row r="1746">
      <c r="A1746" s="9" t="n"/>
      <c r="B1746" s="9" t="n"/>
      <c r="C1746" s="9" t="n"/>
      <c r="D1746" s="9" t="n"/>
      <c r="E1746" s="9" t="n"/>
      <c r="F1746" s="8">
        <f>IF(A1746="","",IFERROR(INDEX(Testes!$N$2:$N$500,MATCH(A1746,Testes!$A$2:$A$500,0)),""))</f>
        <v/>
      </c>
      <c r="G1746" s="8">
        <f>IF(F1746="ocorrência","VP",IF(F1746="sem ocorrência","FP",""))</f>
        <v/>
      </c>
      <c r="H1746" s="7" t="n"/>
      <c r="I1746" s="8">
        <f>IF(H1746&lt;&gt;"",H1746,G1746)</f>
        <v/>
      </c>
    </row>
    <row r="1747">
      <c r="A1747" s="9" t="n"/>
      <c r="B1747" s="9" t="n"/>
      <c r="C1747" s="9" t="n"/>
      <c r="D1747" s="9" t="n"/>
      <c r="E1747" s="9" t="n"/>
      <c r="F1747" s="8">
        <f>IF(A1747="","",IFERROR(INDEX(Testes!$N$2:$N$500,MATCH(A1747,Testes!$A$2:$A$500,0)),""))</f>
        <v/>
      </c>
      <c r="G1747" s="8">
        <f>IF(F1747="ocorrência","VP",IF(F1747="sem ocorrência","FP",""))</f>
        <v/>
      </c>
      <c r="H1747" s="7" t="n"/>
      <c r="I1747" s="8">
        <f>IF(H1747&lt;&gt;"",H1747,G1747)</f>
        <v/>
      </c>
    </row>
    <row r="1748">
      <c r="A1748" s="9" t="n"/>
      <c r="B1748" s="9" t="n"/>
      <c r="C1748" s="9" t="n"/>
      <c r="D1748" s="9" t="n"/>
      <c r="E1748" s="9" t="n"/>
      <c r="F1748" s="8">
        <f>IF(A1748="","",IFERROR(INDEX(Testes!$N$2:$N$500,MATCH(A1748,Testes!$A$2:$A$500,0)),""))</f>
        <v/>
      </c>
      <c r="G1748" s="8">
        <f>IF(F1748="ocorrência","VP",IF(F1748="sem ocorrência","FP",""))</f>
        <v/>
      </c>
      <c r="H1748" s="7" t="n"/>
      <c r="I1748" s="8">
        <f>IF(H1748&lt;&gt;"",H1748,G1748)</f>
        <v/>
      </c>
    </row>
    <row r="1749">
      <c r="A1749" s="9" t="n"/>
      <c r="B1749" s="9" t="n"/>
      <c r="C1749" s="9" t="n"/>
      <c r="D1749" s="9" t="n"/>
      <c r="E1749" s="9" t="n"/>
      <c r="F1749" s="8">
        <f>IF(A1749="","",IFERROR(INDEX(Testes!$N$2:$N$500,MATCH(A1749,Testes!$A$2:$A$500,0)),""))</f>
        <v/>
      </c>
      <c r="G1749" s="8">
        <f>IF(F1749="ocorrência","VP",IF(F1749="sem ocorrência","FP",""))</f>
        <v/>
      </c>
      <c r="H1749" s="7" t="n"/>
      <c r="I1749" s="8">
        <f>IF(H1749&lt;&gt;"",H1749,G1749)</f>
        <v/>
      </c>
    </row>
    <row r="1750">
      <c r="A1750" s="9" t="n"/>
      <c r="B1750" s="9" t="n"/>
      <c r="C1750" s="9" t="n"/>
      <c r="D1750" s="9" t="n"/>
      <c r="E1750" s="9" t="n"/>
      <c r="F1750" s="8">
        <f>IF(A1750="","",IFERROR(INDEX(Testes!$N$2:$N$500,MATCH(A1750,Testes!$A$2:$A$500,0)),""))</f>
        <v/>
      </c>
      <c r="G1750" s="8">
        <f>IF(F1750="ocorrência","VP",IF(F1750="sem ocorrência","FP",""))</f>
        <v/>
      </c>
      <c r="H1750" s="7" t="n"/>
      <c r="I1750" s="8">
        <f>IF(H1750&lt;&gt;"",H1750,G1750)</f>
        <v/>
      </c>
    </row>
    <row r="1751">
      <c r="A1751" s="9" t="n"/>
      <c r="B1751" s="9" t="n"/>
      <c r="C1751" s="9" t="n"/>
      <c r="D1751" s="9" t="n"/>
      <c r="E1751" s="9" t="n"/>
      <c r="F1751" s="8">
        <f>IF(A1751="","",IFERROR(INDEX(Testes!$N$2:$N$500,MATCH(A1751,Testes!$A$2:$A$500,0)),""))</f>
        <v/>
      </c>
      <c r="G1751" s="8">
        <f>IF(F1751="ocorrência","VP",IF(F1751="sem ocorrência","FP",""))</f>
        <v/>
      </c>
      <c r="H1751" s="7" t="n"/>
      <c r="I1751" s="8">
        <f>IF(H1751&lt;&gt;"",H1751,G1751)</f>
        <v/>
      </c>
    </row>
    <row r="1752">
      <c r="A1752" s="9" t="n"/>
      <c r="B1752" s="9" t="n"/>
      <c r="C1752" s="9" t="n"/>
      <c r="D1752" s="9" t="n"/>
      <c r="E1752" s="9" t="n"/>
      <c r="F1752" s="8">
        <f>IF(A1752="","",IFERROR(INDEX(Testes!$N$2:$N$500,MATCH(A1752,Testes!$A$2:$A$500,0)),""))</f>
        <v/>
      </c>
      <c r="G1752" s="8">
        <f>IF(F1752="ocorrência","VP",IF(F1752="sem ocorrência","FP",""))</f>
        <v/>
      </c>
      <c r="H1752" s="7" t="n"/>
      <c r="I1752" s="8">
        <f>IF(H1752&lt;&gt;"",H1752,G1752)</f>
        <v/>
      </c>
    </row>
    <row r="1753">
      <c r="A1753" s="9" t="n"/>
      <c r="B1753" s="9" t="n"/>
      <c r="C1753" s="9" t="n"/>
      <c r="D1753" s="9" t="n"/>
      <c r="E1753" s="9" t="n"/>
      <c r="F1753" s="8">
        <f>IF(A1753="","",IFERROR(INDEX(Testes!$N$2:$N$500,MATCH(A1753,Testes!$A$2:$A$500,0)),""))</f>
        <v/>
      </c>
      <c r="G1753" s="8">
        <f>IF(F1753="ocorrência","VP",IF(F1753="sem ocorrência","FP",""))</f>
        <v/>
      </c>
      <c r="H1753" s="7" t="n"/>
      <c r="I1753" s="8">
        <f>IF(H1753&lt;&gt;"",H1753,G1753)</f>
        <v/>
      </c>
    </row>
    <row r="1754">
      <c r="A1754" s="9" t="n"/>
      <c r="B1754" s="9" t="n"/>
      <c r="C1754" s="9" t="n"/>
      <c r="D1754" s="9" t="n"/>
      <c r="E1754" s="9" t="n"/>
      <c r="F1754" s="8">
        <f>IF(A1754="","",IFERROR(INDEX(Testes!$N$2:$N$500,MATCH(A1754,Testes!$A$2:$A$500,0)),""))</f>
        <v/>
      </c>
      <c r="G1754" s="8">
        <f>IF(F1754="ocorrência","VP",IF(F1754="sem ocorrência","FP",""))</f>
        <v/>
      </c>
      <c r="H1754" s="7" t="n"/>
      <c r="I1754" s="8">
        <f>IF(H1754&lt;&gt;"",H1754,G1754)</f>
        <v/>
      </c>
    </row>
    <row r="1755">
      <c r="A1755" s="9" t="n"/>
      <c r="B1755" s="9" t="n"/>
      <c r="C1755" s="9" t="n"/>
      <c r="D1755" s="9" t="n"/>
      <c r="E1755" s="9" t="n"/>
      <c r="F1755" s="8">
        <f>IF(A1755="","",IFERROR(INDEX(Testes!$N$2:$N$500,MATCH(A1755,Testes!$A$2:$A$500,0)),""))</f>
        <v/>
      </c>
      <c r="G1755" s="8">
        <f>IF(F1755="ocorrência","VP",IF(F1755="sem ocorrência","FP",""))</f>
        <v/>
      </c>
      <c r="H1755" s="7" t="n"/>
      <c r="I1755" s="8">
        <f>IF(H1755&lt;&gt;"",H1755,G1755)</f>
        <v/>
      </c>
    </row>
    <row r="1756">
      <c r="A1756" s="9" t="n"/>
      <c r="B1756" s="9" t="n"/>
      <c r="C1756" s="9" t="n"/>
      <c r="D1756" s="9" t="n"/>
      <c r="E1756" s="9" t="n"/>
      <c r="F1756" s="8">
        <f>IF(A1756="","",IFERROR(INDEX(Testes!$N$2:$N$500,MATCH(A1756,Testes!$A$2:$A$500,0)),""))</f>
        <v/>
      </c>
      <c r="G1756" s="8">
        <f>IF(F1756="ocorrência","VP",IF(F1756="sem ocorrência","FP",""))</f>
        <v/>
      </c>
      <c r="H1756" s="7" t="n"/>
      <c r="I1756" s="8">
        <f>IF(H1756&lt;&gt;"",H1756,G1756)</f>
        <v/>
      </c>
    </row>
    <row r="1757">
      <c r="A1757" s="9" t="n"/>
      <c r="B1757" s="9" t="n"/>
      <c r="C1757" s="9" t="n"/>
      <c r="D1757" s="9" t="n"/>
      <c r="E1757" s="9" t="n"/>
      <c r="F1757" s="8">
        <f>IF(A1757="","",IFERROR(INDEX(Testes!$N$2:$N$500,MATCH(A1757,Testes!$A$2:$A$500,0)),""))</f>
        <v/>
      </c>
      <c r="G1757" s="8">
        <f>IF(F1757="ocorrência","VP",IF(F1757="sem ocorrência","FP",""))</f>
        <v/>
      </c>
      <c r="H1757" s="7" t="n"/>
      <c r="I1757" s="8">
        <f>IF(H1757&lt;&gt;"",H1757,G1757)</f>
        <v/>
      </c>
    </row>
    <row r="1758">
      <c r="A1758" s="9" t="n"/>
      <c r="B1758" s="9" t="n"/>
      <c r="C1758" s="9" t="n"/>
      <c r="D1758" s="9" t="n"/>
      <c r="E1758" s="9" t="n"/>
      <c r="F1758" s="8">
        <f>IF(A1758="","",IFERROR(INDEX(Testes!$N$2:$N$500,MATCH(A1758,Testes!$A$2:$A$500,0)),""))</f>
        <v/>
      </c>
      <c r="G1758" s="8">
        <f>IF(F1758="ocorrência","VP",IF(F1758="sem ocorrência","FP",""))</f>
        <v/>
      </c>
      <c r="H1758" s="7" t="n"/>
      <c r="I1758" s="8">
        <f>IF(H1758&lt;&gt;"",H1758,G1758)</f>
        <v/>
      </c>
    </row>
    <row r="1759">
      <c r="A1759" s="9" t="n"/>
      <c r="B1759" s="9" t="n"/>
      <c r="C1759" s="9" t="n"/>
      <c r="D1759" s="9" t="n"/>
      <c r="E1759" s="9" t="n"/>
      <c r="F1759" s="8">
        <f>IF(A1759="","",IFERROR(INDEX(Testes!$N$2:$N$500,MATCH(A1759,Testes!$A$2:$A$500,0)),""))</f>
        <v/>
      </c>
      <c r="G1759" s="8">
        <f>IF(F1759="ocorrência","VP",IF(F1759="sem ocorrência","FP",""))</f>
        <v/>
      </c>
      <c r="H1759" s="7" t="n"/>
      <c r="I1759" s="8">
        <f>IF(H1759&lt;&gt;"",H1759,G1759)</f>
        <v/>
      </c>
    </row>
    <row r="1760">
      <c r="A1760" s="9" t="n"/>
      <c r="B1760" s="9" t="n"/>
      <c r="C1760" s="9" t="n"/>
      <c r="D1760" s="9" t="n"/>
      <c r="E1760" s="9" t="n"/>
      <c r="F1760" s="8">
        <f>IF(A1760="","",IFERROR(INDEX(Testes!$N$2:$N$500,MATCH(A1760,Testes!$A$2:$A$500,0)),""))</f>
        <v/>
      </c>
      <c r="G1760" s="8">
        <f>IF(F1760="ocorrência","VP",IF(F1760="sem ocorrência","FP",""))</f>
        <v/>
      </c>
      <c r="H1760" s="7" t="n"/>
      <c r="I1760" s="8">
        <f>IF(H1760&lt;&gt;"",H1760,G1760)</f>
        <v/>
      </c>
    </row>
    <row r="1761">
      <c r="A1761" s="9" t="n"/>
      <c r="B1761" s="9" t="n"/>
      <c r="C1761" s="9" t="n"/>
      <c r="D1761" s="9" t="n"/>
      <c r="E1761" s="9" t="n"/>
      <c r="F1761" s="8">
        <f>IF(A1761="","",IFERROR(INDEX(Testes!$N$2:$N$500,MATCH(A1761,Testes!$A$2:$A$500,0)),""))</f>
        <v/>
      </c>
      <c r="G1761" s="8">
        <f>IF(F1761="ocorrência","VP",IF(F1761="sem ocorrência","FP",""))</f>
        <v/>
      </c>
      <c r="H1761" s="7" t="n"/>
      <c r="I1761" s="8">
        <f>IF(H1761&lt;&gt;"",H1761,G1761)</f>
        <v/>
      </c>
    </row>
    <row r="1762">
      <c r="A1762" s="9" t="n"/>
      <c r="B1762" s="9" t="n"/>
      <c r="C1762" s="9" t="n"/>
      <c r="D1762" s="9" t="n"/>
      <c r="E1762" s="9" t="n"/>
      <c r="F1762" s="8">
        <f>IF(A1762="","",IFERROR(INDEX(Testes!$N$2:$N$500,MATCH(A1762,Testes!$A$2:$A$500,0)),""))</f>
        <v/>
      </c>
      <c r="G1762" s="8">
        <f>IF(F1762="ocorrência","VP",IF(F1762="sem ocorrência","FP",""))</f>
        <v/>
      </c>
      <c r="H1762" s="7" t="n"/>
      <c r="I1762" s="8">
        <f>IF(H1762&lt;&gt;"",H1762,G1762)</f>
        <v/>
      </c>
    </row>
    <row r="1763">
      <c r="A1763" s="9" t="n"/>
      <c r="B1763" s="9" t="n"/>
      <c r="C1763" s="9" t="n"/>
      <c r="D1763" s="9" t="n"/>
      <c r="E1763" s="9" t="n"/>
      <c r="F1763" s="8">
        <f>IF(A1763="","",IFERROR(INDEX(Testes!$N$2:$N$500,MATCH(A1763,Testes!$A$2:$A$500,0)),""))</f>
        <v/>
      </c>
      <c r="G1763" s="8">
        <f>IF(F1763="ocorrência","VP",IF(F1763="sem ocorrência","FP",""))</f>
        <v/>
      </c>
      <c r="H1763" s="7" t="n"/>
      <c r="I1763" s="8">
        <f>IF(H1763&lt;&gt;"",H1763,G1763)</f>
        <v/>
      </c>
    </row>
    <row r="1764">
      <c r="A1764" s="9" t="n"/>
      <c r="B1764" s="9" t="n"/>
      <c r="C1764" s="9" t="n"/>
      <c r="D1764" s="9" t="n"/>
      <c r="E1764" s="9" t="n"/>
      <c r="F1764" s="8">
        <f>IF(A1764="","",IFERROR(INDEX(Testes!$N$2:$N$500,MATCH(A1764,Testes!$A$2:$A$500,0)),""))</f>
        <v/>
      </c>
      <c r="G1764" s="8">
        <f>IF(F1764="ocorrência","VP",IF(F1764="sem ocorrência","FP",""))</f>
        <v/>
      </c>
      <c r="H1764" s="7" t="n"/>
      <c r="I1764" s="8">
        <f>IF(H1764&lt;&gt;"",H1764,G1764)</f>
        <v/>
      </c>
    </row>
    <row r="1765">
      <c r="A1765" s="9" t="n"/>
      <c r="B1765" s="9" t="n"/>
      <c r="C1765" s="9" t="n"/>
      <c r="D1765" s="9" t="n"/>
      <c r="E1765" s="9" t="n"/>
      <c r="F1765" s="8">
        <f>IF(A1765="","",IFERROR(INDEX(Testes!$N$2:$N$500,MATCH(A1765,Testes!$A$2:$A$500,0)),""))</f>
        <v/>
      </c>
      <c r="G1765" s="8">
        <f>IF(F1765="ocorrência","VP",IF(F1765="sem ocorrência","FP",""))</f>
        <v/>
      </c>
      <c r="H1765" s="7" t="n"/>
      <c r="I1765" s="8">
        <f>IF(H1765&lt;&gt;"",H1765,G1765)</f>
        <v/>
      </c>
    </row>
    <row r="1766">
      <c r="A1766" s="9" t="n"/>
      <c r="B1766" s="9" t="n"/>
      <c r="C1766" s="9" t="n"/>
      <c r="D1766" s="9" t="n"/>
      <c r="E1766" s="9" t="n"/>
      <c r="F1766" s="8">
        <f>IF(A1766="","",IFERROR(INDEX(Testes!$N$2:$N$500,MATCH(A1766,Testes!$A$2:$A$500,0)),""))</f>
        <v/>
      </c>
      <c r="G1766" s="8">
        <f>IF(F1766="ocorrência","VP",IF(F1766="sem ocorrência","FP",""))</f>
        <v/>
      </c>
      <c r="H1766" s="7" t="n"/>
      <c r="I1766" s="8">
        <f>IF(H1766&lt;&gt;"",H1766,G1766)</f>
        <v/>
      </c>
    </row>
    <row r="1767">
      <c r="A1767" s="9" t="n"/>
      <c r="B1767" s="9" t="n"/>
      <c r="C1767" s="9" t="n"/>
      <c r="D1767" s="9" t="n"/>
      <c r="E1767" s="9" t="n"/>
      <c r="F1767" s="8">
        <f>IF(A1767="","",IFERROR(INDEX(Testes!$N$2:$N$500,MATCH(A1767,Testes!$A$2:$A$500,0)),""))</f>
        <v/>
      </c>
      <c r="G1767" s="8">
        <f>IF(F1767="ocorrência","VP",IF(F1767="sem ocorrência","FP",""))</f>
        <v/>
      </c>
      <c r="H1767" s="7" t="n"/>
      <c r="I1767" s="8">
        <f>IF(H1767&lt;&gt;"",H1767,G1767)</f>
        <v/>
      </c>
    </row>
    <row r="1768">
      <c r="A1768" s="9" t="n"/>
      <c r="B1768" s="9" t="n"/>
      <c r="C1768" s="9" t="n"/>
      <c r="D1768" s="9" t="n"/>
      <c r="E1768" s="9" t="n"/>
      <c r="F1768" s="8">
        <f>IF(A1768="","",IFERROR(INDEX(Testes!$N$2:$N$500,MATCH(A1768,Testes!$A$2:$A$500,0)),""))</f>
        <v/>
      </c>
      <c r="G1768" s="8">
        <f>IF(F1768="ocorrência","VP",IF(F1768="sem ocorrência","FP",""))</f>
        <v/>
      </c>
      <c r="H1768" s="7" t="n"/>
      <c r="I1768" s="8">
        <f>IF(H1768&lt;&gt;"",H1768,G1768)</f>
        <v/>
      </c>
    </row>
    <row r="1769">
      <c r="A1769" s="9" t="n"/>
      <c r="B1769" s="9" t="n"/>
      <c r="C1769" s="9" t="n"/>
      <c r="D1769" s="9" t="n"/>
      <c r="E1769" s="9" t="n"/>
      <c r="F1769" s="8">
        <f>IF(A1769="","",IFERROR(INDEX(Testes!$N$2:$N$500,MATCH(A1769,Testes!$A$2:$A$500,0)),""))</f>
        <v/>
      </c>
      <c r="G1769" s="8">
        <f>IF(F1769="ocorrência","VP",IF(F1769="sem ocorrência","FP",""))</f>
        <v/>
      </c>
      <c r="H1769" s="7" t="n"/>
      <c r="I1769" s="8">
        <f>IF(H1769&lt;&gt;"",H1769,G1769)</f>
        <v/>
      </c>
    </row>
    <row r="1770">
      <c r="A1770" s="9" t="n"/>
      <c r="B1770" s="9" t="n"/>
      <c r="C1770" s="9" t="n"/>
      <c r="D1770" s="9" t="n"/>
      <c r="E1770" s="9" t="n"/>
      <c r="F1770" s="8">
        <f>IF(A1770="","",IFERROR(INDEX(Testes!$N$2:$N$500,MATCH(A1770,Testes!$A$2:$A$500,0)),""))</f>
        <v/>
      </c>
      <c r="G1770" s="8">
        <f>IF(F1770="ocorrência","VP",IF(F1770="sem ocorrência","FP",""))</f>
        <v/>
      </c>
      <c r="H1770" s="7" t="n"/>
      <c r="I1770" s="8">
        <f>IF(H1770&lt;&gt;"",H1770,G1770)</f>
        <v/>
      </c>
    </row>
    <row r="1771">
      <c r="A1771" s="9" t="n"/>
      <c r="B1771" s="9" t="n"/>
      <c r="C1771" s="9" t="n"/>
      <c r="D1771" s="9" t="n"/>
      <c r="E1771" s="9" t="n"/>
      <c r="F1771" s="8">
        <f>IF(A1771="","",IFERROR(INDEX(Testes!$N$2:$N$500,MATCH(A1771,Testes!$A$2:$A$500,0)),""))</f>
        <v/>
      </c>
      <c r="G1771" s="8">
        <f>IF(F1771="ocorrência","VP",IF(F1771="sem ocorrência","FP",""))</f>
        <v/>
      </c>
      <c r="H1771" s="7" t="n"/>
      <c r="I1771" s="8">
        <f>IF(H1771&lt;&gt;"",H1771,G1771)</f>
        <v/>
      </c>
    </row>
    <row r="1772">
      <c r="A1772" s="9" t="n"/>
      <c r="B1772" s="9" t="n"/>
      <c r="C1772" s="9" t="n"/>
      <c r="D1772" s="9" t="n"/>
      <c r="E1772" s="9" t="n"/>
      <c r="F1772" s="8">
        <f>IF(A1772="","",IFERROR(INDEX(Testes!$N$2:$N$500,MATCH(A1772,Testes!$A$2:$A$500,0)),""))</f>
        <v/>
      </c>
      <c r="G1772" s="8">
        <f>IF(F1772="ocorrência","VP",IF(F1772="sem ocorrência","FP",""))</f>
        <v/>
      </c>
      <c r="H1772" s="7" t="n"/>
      <c r="I1772" s="8">
        <f>IF(H1772&lt;&gt;"",H1772,G1772)</f>
        <v/>
      </c>
    </row>
    <row r="1773">
      <c r="A1773" s="9" t="n"/>
      <c r="B1773" s="9" t="n"/>
      <c r="C1773" s="9" t="n"/>
      <c r="D1773" s="9" t="n"/>
      <c r="E1773" s="9" t="n"/>
      <c r="F1773" s="8">
        <f>IF(A1773="","",IFERROR(INDEX(Testes!$N$2:$N$500,MATCH(A1773,Testes!$A$2:$A$500,0)),""))</f>
        <v/>
      </c>
      <c r="G1773" s="8">
        <f>IF(F1773="ocorrência","VP",IF(F1773="sem ocorrência","FP",""))</f>
        <v/>
      </c>
      <c r="H1773" s="7" t="n"/>
      <c r="I1773" s="8">
        <f>IF(H1773&lt;&gt;"",H1773,G1773)</f>
        <v/>
      </c>
    </row>
    <row r="1774">
      <c r="A1774" s="9" t="n"/>
      <c r="B1774" s="9" t="n"/>
      <c r="C1774" s="9" t="n"/>
      <c r="D1774" s="9" t="n"/>
      <c r="E1774" s="9" t="n"/>
      <c r="F1774" s="8">
        <f>IF(A1774="","",IFERROR(INDEX(Testes!$N$2:$N$500,MATCH(A1774,Testes!$A$2:$A$500,0)),""))</f>
        <v/>
      </c>
      <c r="G1774" s="8">
        <f>IF(F1774="ocorrência","VP",IF(F1774="sem ocorrência","FP",""))</f>
        <v/>
      </c>
      <c r="H1774" s="7" t="n"/>
      <c r="I1774" s="8">
        <f>IF(H1774&lt;&gt;"",H1774,G1774)</f>
        <v/>
      </c>
    </row>
    <row r="1775">
      <c r="A1775" s="9" t="n"/>
      <c r="B1775" s="9" t="n"/>
      <c r="C1775" s="9" t="n"/>
      <c r="D1775" s="9" t="n"/>
      <c r="E1775" s="9" t="n"/>
      <c r="F1775" s="8">
        <f>IF(A1775="","",IFERROR(INDEX(Testes!$N$2:$N$500,MATCH(A1775,Testes!$A$2:$A$500,0)),""))</f>
        <v/>
      </c>
      <c r="G1775" s="8">
        <f>IF(F1775="ocorrência","VP",IF(F1775="sem ocorrência","FP",""))</f>
        <v/>
      </c>
      <c r="H1775" s="7" t="n"/>
      <c r="I1775" s="8">
        <f>IF(H1775&lt;&gt;"",H1775,G1775)</f>
        <v/>
      </c>
    </row>
    <row r="1776">
      <c r="A1776" s="9" t="n"/>
      <c r="B1776" s="9" t="n"/>
      <c r="C1776" s="9" t="n"/>
      <c r="D1776" s="9" t="n"/>
      <c r="E1776" s="9" t="n"/>
      <c r="F1776" s="8">
        <f>IF(A1776="","",IFERROR(INDEX(Testes!$N$2:$N$500,MATCH(A1776,Testes!$A$2:$A$500,0)),""))</f>
        <v/>
      </c>
      <c r="G1776" s="8">
        <f>IF(F1776="ocorrência","VP",IF(F1776="sem ocorrência","FP",""))</f>
        <v/>
      </c>
      <c r="H1776" s="7" t="n"/>
      <c r="I1776" s="8">
        <f>IF(H1776&lt;&gt;"",H1776,G1776)</f>
        <v/>
      </c>
    </row>
    <row r="1777">
      <c r="A1777" s="9" t="n"/>
      <c r="B1777" s="9" t="n"/>
      <c r="C1777" s="9" t="n"/>
      <c r="D1777" s="9" t="n"/>
      <c r="E1777" s="9" t="n"/>
      <c r="F1777" s="8">
        <f>IF(A1777="","",IFERROR(INDEX(Testes!$N$2:$N$500,MATCH(A1777,Testes!$A$2:$A$500,0)),""))</f>
        <v/>
      </c>
      <c r="G1777" s="8">
        <f>IF(F1777="ocorrência","VP",IF(F1777="sem ocorrência","FP",""))</f>
        <v/>
      </c>
      <c r="H1777" s="7" t="n"/>
      <c r="I1777" s="8">
        <f>IF(H1777&lt;&gt;"",H1777,G1777)</f>
        <v/>
      </c>
    </row>
    <row r="1778">
      <c r="A1778" s="9" t="n"/>
      <c r="B1778" s="9" t="n"/>
      <c r="C1778" s="9" t="n"/>
      <c r="D1778" s="9" t="n"/>
      <c r="E1778" s="9" t="n"/>
      <c r="F1778" s="8">
        <f>IF(A1778="","",IFERROR(INDEX(Testes!$N$2:$N$500,MATCH(A1778,Testes!$A$2:$A$500,0)),""))</f>
        <v/>
      </c>
      <c r="G1778" s="8">
        <f>IF(F1778="ocorrência","VP",IF(F1778="sem ocorrência","FP",""))</f>
        <v/>
      </c>
      <c r="H1778" s="7" t="n"/>
      <c r="I1778" s="8">
        <f>IF(H1778&lt;&gt;"",H1778,G1778)</f>
        <v/>
      </c>
    </row>
    <row r="1779">
      <c r="A1779" s="9" t="n"/>
      <c r="B1779" s="9" t="n"/>
      <c r="C1779" s="9" t="n"/>
      <c r="D1779" s="9" t="n"/>
      <c r="E1779" s="9" t="n"/>
      <c r="F1779" s="8">
        <f>IF(A1779="","",IFERROR(INDEX(Testes!$N$2:$N$500,MATCH(A1779,Testes!$A$2:$A$500,0)),""))</f>
        <v/>
      </c>
      <c r="G1779" s="8">
        <f>IF(F1779="ocorrência","VP",IF(F1779="sem ocorrência","FP",""))</f>
        <v/>
      </c>
      <c r="H1779" s="7" t="n"/>
      <c r="I1779" s="8">
        <f>IF(H1779&lt;&gt;"",H1779,G1779)</f>
        <v/>
      </c>
    </row>
    <row r="1780">
      <c r="A1780" s="9" t="n"/>
      <c r="B1780" s="9" t="n"/>
      <c r="C1780" s="9" t="n"/>
      <c r="D1780" s="9" t="n"/>
      <c r="E1780" s="9" t="n"/>
      <c r="F1780" s="8">
        <f>IF(A1780="","",IFERROR(INDEX(Testes!$N$2:$N$500,MATCH(A1780,Testes!$A$2:$A$500,0)),""))</f>
        <v/>
      </c>
      <c r="G1780" s="8">
        <f>IF(F1780="ocorrência","VP",IF(F1780="sem ocorrência","FP",""))</f>
        <v/>
      </c>
      <c r="H1780" s="7" t="n"/>
      <c r="I1780" s="8">
        <f>IF(H1780&lt;&gt;"",H1780,G1780)</f>
        <v/>
      </c>
    </row>
    <row r="1781">
      <c r="A1781" s="9" t="n"/>
      <c r="B1781" s="9" t="n"/>
      <c r="C1781" s="9" t="n"/>
      <c r="D1781" s="9" t="n"/>
      <c r="E1781" s="9" t="n"/>
      <c r="F1781" s="8">
        <f>IF(A1781="","",IFERROR(INDEX(Testes!$N$2:$N$500,MATCH(A1781,Testes!$A$2:$A$500,0)),""))</f>
        <v/>
      </c>
      <c r="G1781" s="8">
        <f>IF(F1781="ocorrência","VP",IF(F1781="sem ocorrência","FP",""))</f>
        <v/>
      </c>
      <c r="H1781" s="7" t="n"/>
      <c r="I1781" s="8">
        <f>IF(H1781&lt;&gt;"",H1781,G1781)</f>
        <v/>
      </c>
    </row>
    <row r="1782">
      <c r="A1782" s="9" t="n"/>
      <c r="B1782" s="9" t="n"/>
      <c r="C1782" s="9" t="n"/>
      <c r="D1782" s="9" t="n"/>
      <c r="E1782" s="9" t="n"/>
      <c r="F1782" s="8">
        <f>IF(A1782="","",IFERROR(INDEX(Testes!$N$2:$N$500,MATCH(A1782,Testes!$A$2:$A$500,0)),""))</f>
        <v/>
      </c>
      <c r="G1782" s="8">
        <f>IF(F1782="ocorrência","VP",IF(F1782="sem ocorrência","FP",""))</f>
        <v/>
      </c>
      <c r="H1782" s="7" t="n"/>
      <c r="I1782" s="8">
        <f>IF(H1782&lt;&gt;"",H1782,G1782)</f>
        <v/>
      </c>
    </row>
    <row r="1783">
      <c r="A1783" s="9" t="n"/>
      <c r="B1783" s="9" t="n"/>
      <c r="C1783" s="9" t="n"/>
      <c r="D1783" s="9" t="n"/>
      <c r="E1783" s="9" t="n"/>
      <c r="F1783" s="8">
        <f>IF(A1783="","",IFERROR(INDEX(Testes!$N$2:$N$500,MATCH(A1783,Testes!$A$2:$A$500,0)),""))</f>
        <v/>
      </c>
      <c r="G1783" s="8">
        <f>IF(F1783="ocorrência","VP",IF(F1783="sem ocorrência","FP",""))</f>
        <v/>
      </c>
      <c r="H1783" s="7" t="n"/>
      <c r="I1783" s="8">
        <f>IF(H1783&lt;&gt;"",H1783,G1783)</f>
        <v/>
      </c>
    </row>
    <row r="1784">
      <c r="A1784" s="9" t="n"/>
      <c r="B1784" s="9" t="n"/>
      <c r="C1784" s="9" t="n"/>
      <c r="D1784" s="9" t="n"/>
      <c r="E1784" s="9" t="n"/>
      <c r="F1784" s="8">
        <f>IF(A1784="","",IFERROR(INDEX(Testes!$N$2:$N$500,MATCH(A1784,Testes!$A$2:$A$500,0)),""))</f>
        <v/>
      </c>
      <c r="G1784" s="8">
        <f>IF(F1784="ocorrência","VP",IF(F1784="sem ocorrência","FP",""))</f>
        <v/>
      </c>
      <c r="H1784" s="7" t="n"/>
      <c r="I1784" s="8">
        <f>IF(H1784&lt;&gt;"",H1784,G1784)</f>
        <v/>
      </c>
    </row>
    <row r="1785">
      <c r="A1785" s="9" t="n"/>
      <c r="B1785" s="9" t="n"/>
      <c r="C1785" s="9" t="n"/>
      <c r="D1785" s="9" t="n"/>
      <c r="E1785" s="9" t="n"/>
      <c r="F1785" s="8">
        <f>IF(A1785="","",IFERROR(INDEX(Testes!$N$2:$N$500,MATCH(A1785,Testes!$A$2:$A$500,0)),""))</f>
        <v/>
      </c>
      <c r="G1785" s="8">
        <f>IF(F1785="ocorrência","VP",IF(F1785="sem ocorrência","FP",""))</f>
        <v/>
      </c>
      <c r="H1785" s="7" t="n"/>
      <c r="I1785" s="8">
        <f>IF(H1785&lt;&gt;"",H1785,G1785)</f>
        <v/>
      </c>
    </row>
    <row r="1786">
      <c r="A1786" s="9" t="n"/>
      <c r="B1786" s="9" t="n"/>
      <c r="C1786" s="9" t="n"/>
      <c r="D1786" s="9" t="n"/>
      <c r="E1786" s="9" t="n"/>
      <c r="F1786" s="8">
        <f>IF(A1786="","",IFERROR(INDEX(Testes!$N$2:$N$500,MATCH(A1786,Testes!$A$2:$A$500,0)),""))</f>
        <v/>
      </c>
      <c r="G1786" s="8">
        <f>IF(F1786="ocorrência","VP",IF(F1786="sem ocorrência","FP",""))</f>
        <v/>
      </c>
      <c r="H1786" s="7" t="n"/>
      <c r="I1786" s="8">
        <f>IF(H1786&lt;&gt;"",H1786,G1786)</f>
        <v/>
      </c>
    </row>
    <row r="1787">
      <c r="A1787" s="9" t="n"/>
      <c r="B1787" s="9" t="n"/>
      <c r="C1787" s="9" t="n"/>
      <c r="D1787" s="9" t="n"/>
      <c r="E1787" s="9" t="n"/>
      <c r="F1787" s="8">
        <f>IF(A1787="","",IFERROR(INDEX(Testes!$N$2:$N$500,MATCH(A1787,Testes!$A$2:$A$500,0)),""))</f>
        <v/>
      </c>
      <c r="G1787" s="8">
        <f>IF(F1787="ocorrência","VP",IF(F1787="sem ocorrência","FP",""))</f>
        <v/>
      </c>
      <c r="H1787" s="7" t="n"/>
      <c r="I1787" s="8">
        <f>IF(H1787&lt;&gt;"",H1787,G1787)</f>
        <v/>
      </c>
    </row>
    <row r="1788">
      <c r="A1788" s="9" t="n"/>
      <c r="B1788" s="9" t="n"/>
      <c r="C1788" s="9" t="n"/>
      <c r="D1788" s="9" t="n"/>
      <c r="E1788" s="9" t="n"/>
      <c r="F1788" s="8">
        <f>IF(A1788="","",IFERROR(INDEX(Testes!$N$2:$N$500,MATCH(A1788,Testes!$A$2:$A$500,0)),""))</f>
        <v/>
      </c>
      <c r="G1788" s="8">
        <f>IF(F1788="ocorrência","VP",IF(F1788="sem ocorrência","FP",""))</f>
        <v/>
      </c>
      <c r="H1788" s="7" t="n"/>
      <c r="I1788" s="8">
        <f>IF(H1788&lt;&gt;"",H1788,G1788)</f>
        <v/>
      </c>
    </row>
    <row r="1789">
      <c r="A1789" s="9" t="n"/>
      <c r="B1789" s="9" t="n"/>
      <c r="C1789" s="9" t="n"/>
      <c r="D1789" s="9" t="n"/>
      <c r="E1789" s="9" t="n"/>
      <c r="F1789" s="8">
        <f>IF(A1789="","",IFERROR(INDEX(Testes!$N$2:$N$500,MATCH(A1789,Testes!$A$2:$A$500,0)),""))</f>
        <v/>
      </c>
      <c r="G1789" s="8">
        <f>IF(F1789="ocorrência","VP",IF(F1789="sem ocorrência","FP",""))</f>
        <v/>
      </c>
      <c r="H1789" s="7" t="n"/>
      <c r="I1789" s="8">
        <f>IF(H1789&lt;&gt;"",H1789,G1789)</f>
        <v/>
      </c>
    </row>
    <row r="1790">
      <c r="A1790" s="9" t="n"/>
      <c r="B1790" s="9" t="n"/>
      <c r="C1790" s="9" t="n"/>
      <c r="D1790" s="9" t="n"/>
      <c r="E1790" s="9" t="n"/>
      <c r="F1790" s="8">
        <f>IF(A1790="","",IFERROR(INDEX(Testes!$N$2:$N$500,MATCH(A1790,Testes!$A$2:$A$500,0)),""))</f>
        <v/>
      </c>
      <c r="G1790" s="8">
        <f>IF(F1790="ocorrência","VP",IF(F1790="sem ocorrência","FP",""))</f>
        <v/>
      </c>
      <c r="H1790" s="7" t="n"/>
      <c r="I1790" s="8">
        <f>IF(H1790&lt;&gt;"",H1790,G1790)</f>
        <v/>
      </c>
    </row>
    <row r="1791">
      <c r="A1791" s="9" t="n"/>
      <c r="B1791" s="9" t="n"/>
      <c r="C1791" s="9" t="n"/>
      <c r="D1791" s="9" t="n"/>
      <c r="E1791" s="9" t="n"/>
      <c r="F1791" s="8">
        <f>IF(A1791="","",IFERROR(INDEX(Testes!$N$2:$N$500,MATCH(A1791,Testes!$A$2:$A$500,0)),""))</f>
        <v/>
      </c>
      <c r="G1791" s="8">
        <f>IF(F1791="ocorrência","VP",IF(F1791="sem ocorrência","FP",""))</f>
        <v/>
      </c>
      <c r="H1791" s="7" t="n"/>
      <c r="I1791" s="8">
        <f>IF(H1791&lt;&gt;"",H1791,G1791)</f>
        <v/>
      </c>
    </row>
    <row r="1792">
      <c r="A1792" s="9" t="n"/>
      <c r="B1792" s="9" t="n"/>
      <c r="C1792" s="9" t="n"/>
      <c r="D1792" s="9" t="n"/>
      <c r="E1792" s="9" t="n"/>
      <c r="F1792" s="8">
        <f>IF(A1792="","",IFERROR(INDEX(Testes!$N$2:$N$500,MATCH(A1792,Testes!$A$2:$A$500,0)),""))</f>
        <v/>
      </c>
      <c r="G1792" s="8">
        <f>IF(F1792="ocorrência","VP",IF(F1792="sem ocorrência","FP",""))</f>
        <v/>
      </c>
      <c r="H1792" s="7" t="n"/>
      <c r="I1792" s="8">
        <f>IF(H1792&lt;&gt;"",H1792,G1792)</f>
        <v/>
      </c>
    </row>
    <row r="1793">
      <c r="A1793" s="9" t="n"/>
      <c r="B1793" s="9" t="n"/>
      <c r="C1793" s="9" t="n"/>
      <c r="D1793" s="9" t="n"/>
      <c r="E1793" s="9" t="n"/>
      <c r="F1793" s="8">
        <f>IF(A1793="","",IFERROR(INDEX(Testes!$N$2:$N$500,MATCH(A1793,Testes!$A$2:$A$500,0)),""))</f>
        <v/>
      </c>
      <c r="G1793" s="8">
        <f>IF(F1793="ocorrência","VP",IF(F1793="sem ocorrência","FP",""))</f>
        <v/>
      </c>
      <c r="H1793" s="7" t="n"/>
      <c r="I1793" s="8">
        <f>IF(H1793&lt;&gt;"",H1793,G1793)</f>
        <v/>
      </c>
    </row>
    <row r="1794">
      <c r="A1794" s="9" t="n"/>
      <c r="B1794" s="9" t="n"/>
      <c r="C1794" s="9" t="n"/>
      <c r="D1794" s="9" t="n"/>
      <c r="E1794" s="9" t="n"/>
      <c r="F1794" s="8">
        <f>IF(A1794="","",IFERROR(INDEX(Testes!$N$2:$N$500,MATCH(A1794,Testes!$A$2:$A$500,0)),""))</f>
        <v/>
      </c>
      <c r="G1794" s="8">
        <f>IF(F1794="ocorrência","VP",IF(F1794="sem ocorrência","FP",""))</f>
        <v/>
      </c>
      <c r="H1794" s="7" t="n"/>
      <c r="I1794" s="8">
        <f>IF(H1794&lt;&gt;"",H1794,G1794)</f>
        <v/>
      </c>
    </row>
    <row r="1795">
      <c r="A1795" s="9" t="n"/>
      <c r="B1795" s="9" t="n"/>
      <c r="C1795" s="9" t="n"/>
      <c r="D1795" s="9" t="n"/>
      <c r="E1795" s="9" t="n"/>
      <c r="F1795" s="8">
        <f>IF(A1795="","",IFERROR(INDEX(Testes!$N$2:$N$500,MATCH(A1795,Testes!$A$2:$A$500,0)),""))</f>
        <v/>
      </c>
      <c r="G1795" s="8">
        <f>IF(F1795="ocorrência","VP",IF(F1795="sem ocorrência","FP",""))</f>
        <v/>
      </c>
      <c r="H1795" s="7" t="n"/>
      <c r="I1795" s="8">
        <f>IF(H1795&lt;&gt;"",H1795,G1795)</f>
        <v/>
      </c>
    </row>
    <row r="1796">
      <c r="A1796" s="9" t="n"/>
      <c r="B1796" s="9" t="n"/>
      <c r="C1796" s="9" t="n"/>
      <c r="D1796" s="9" t="n"/>
      <c r="E1796" s="9" t="n"/>
      <c r="F1796" s="8">
        <f>IF(A1796="","",IFERROR(INDEX(Testes!$N$2:$N$500,MATCH(A1796,Testes!$A$2:$A$500,0)),""))</f>
        <v/>
      </c>
      <c r="G1796" s="8">
        <f>IF(F1796="ocorrência","VP",IF(F1796="sem ocorrência","FP",""))</f>
        <v/>
      </c>
      <c r="H1796" s="7" t="n"/>
      <c r="I1796" s="8">
        <f>IF(H1796&lt;&gt;"",H1796,G1796)</f>
        <v/>
      </c>
    </row>
    <row r="1797">
      <c r="A1797" s="9" t="n"/>
      <c r="B1797" s="9" t="n"/>
      <c r="C1797" s="9" t="n"/>
      <c r="D1797" s="9" t="n"/>
      <c r="E1797" s="9" t="n"/>
      <c r="F1797" s="8">
        <f>IF(A1797="","",IFERROR(INDEX(Testes!$N$2:$N$500,MATCH(A1797,Testes!$A$2:$A$500,0)),""))</f>
        <v/>
      </c>
      <c r="G1797" s="8">
        <f>IF(F1797="ocorrência","VP",IF(F1797="sem ocorrência","FP",""))</f>
        <v/>
      </c>
      <c r="H1797" s="7" t="n"/>
      <c r="I1797" s="8">
        <f>IF(H1797&lt;&gt;"",H1797,G1797)</f>
        <v/>
      </c>
    </row>
    <row r="1798">
      <c r="A1798" s="9" t="n"/>
      <c r="B1798" s="9" t="n"/>
      <c r="C1798" s="9" t="n"/>
      <c r="D1798" s="9" t="n"/>
      <c r="E1798" s="9" t="n"/>
      <c r="F1798" s="8">
        <f>IF(A1798="","",IFERROR(INDEX(Testes!$N$2:$N$500,MATCH(A1798,Testes!$A$2:$A$500,0)),""))</f>
        <v/>
      </c>
      <c r="G1798" s="8">
        <f>IF(F1798="ocorrência","VP",IF(F1798="sem ocorrência","FP",""))</f>
        <v/>
      </c>
      <c r="H1798" s="7" t="n"/>
      <c r="I1798" s="8">
        <f>IF(H1798&lt;&gt;"",H1798,G1798)</f>
        <v/>
      </c>
    </row>
    <row r="1799">
      <c r="A1799" s="9" t="n"/>
      <c r="B1799" s="9" t="n"/>
      <c r="C1799" s="9" t="n"/>
      <c r="D1799" s="9" t="n"/>
      <c r="E1799" s="9" t="n"/>
      <c r="F1799" s="8">
        <f>IF(A1799="","",IFERROR(INDEX(Testes!$N$2:$N$500,MATCH(A1799,Testes!$A$2:$A$500,0)),""))</f>
        <v/>
      </c>
      <c r="G1799" s="8">
        <f>IF(F1799="ocorrência","VP",IF(F1799="sem ocorrência","FP",""))</f>
        <v/>
      </c>
      <c r="H1799" s="7" t="n"/>
      <c r="I1799" s="8">
        <f>IF(H1799&lt;&gt;"",H1799,G1799)</f>
        <v/>
      </c>
    </row>
    <row r="1800">
      <c r="A1800" s="9" t="n"/>
      <c r="B1800" s="9" t="n"/>
      <c r="C1800" s="9" t="n"/>
      <c r="D1800" s="9" t="n"/>
      <c r="E1800" s="9" t="n"/>
      <c r="F1800" s="8">
        <f>IF(A1800="","",IFERROR(INDEX(Testes!$N$2:$N$500,MATCH(A1800,Testes!$A$2:$A$500,0)),""))</f>
        <v/>
      </c>
      <c r="G1800" s="8">
        <f>IF(F1800="ocorrência","VP",IF(F1800="sem ocorrência","FP",""))</f>
        <v/>
      </c>
      <c r="H1800" s="7" t="n"/>
      <c r="I1800" s="8">
        <f>IF(H1800&lt;&gt;"",H1800,G1800)</f>
        <v/>
      </c>
    </row>
    <row r="1801">
      <c r="A1801" s="9" t="n"/>
      <c r="B1801" s="9" t="n"/>
      <c r="C1801" s="9" t="n"/>
      <c r="D1801" s="9" t="n"/>
      <c r="E1801" s="9" t="n"/>
      <c r="F1801" s="8">
        <f>IF(A1801="","",IFERROR(INDEX(Testes!$N$2:$N$500,MATCH(A1801,Testes!$A$2:$A$500,0)),""))</f>
        <v/>
      </c>
      <c r="G1801" s="8">
        <f>IF(F1801="ocorrência","VP",IF(F1801="sem ocorrência","FP",""))</f>
        <v/>
      </c>
      <c r="H1801" s="7" t="n"/>
      <c r="I1801" s="8">
        <f>IF(H1801&lt;&gt;"",H1801,G1801)</f>
        <v/>
      </c>
    </row>
    <row r="1802">
      <c r="A1802" s="9" t="n"/>
      <c r="B1802" s="9" t="n"/>
      <c r="C1802" s="9" t="n"/>
      <c r="D1802" s="9" t="n"/>
      <c r="E1802" s="9" t="n"/>
      <c r="F1802" s="8">
        <f>IF(A1802="","",IFERROR(INDEX(Testes!$N$2:$N$500,MATCH(A1802,Testes!$A$2:$A$500,0)),""))</f>
        <v/>
      </c>
      <c r="G1802" s="8">
        <f>IF(F1802="ocorrência","VP",IF(F1802="sem ocorrência","FP",""))</f>
        <v/>
      </c>
      <c r="H1802" s="7" t="n"/>
      <c r="I1802" s="8">
        <f>IF(H1802&lt;&gt;"",H1802,G1802)</f>
        <v/>
      </c>
    </row>
    <row r="1803">
      <c r="A1803" s="9" t="n"/>
      <c r="B1803" s="9" t="n"/>
      <c r="C1803" s="9" t="n"/>
      <c r="D1803" s="9" t="n"/>
      <c r="E1803" s="9" t="n"/>
      <c r="F1803" s="8">
        <f>IF(A1803="","",IFERROR(INDEX(Testes!$N$2:$N$500,MATCH(A1803,Testes!$A$2:$A$500,0)),""))</f>
        <v/>
      </c>
      <c r="G1803" s="8">
        <f>IF(F1803="ocorrência","VP",IF(F1803="sem ocorrência","FP",""))</f>
        <v/>
      </c>
      <c r="H1803" s="7" t="n"/>
      <c r="I1803" s="8">
        <f>IF(H1803&lt;&gt;"",H1803,G1803)</f>
        <v/>
      </c>
    </row>
    <row r="1804">
      <c r="A1804" s="9" t="n"/>
      <c r="B1804" s="9" t="n"/>
      <c r="C1804" s="9" t="n"/>
      <c r="D1804" s="9" t="n"/>
      <c r="E1804" s="9" t="n"/>
      <c r="F1804" s="8">
        <f>IF(A1804="","",IFERROR(INDEX(Testes!$N$2:$N$500,MATCH(A1804,Testes!$A$2:$A$500,0)),""))</f>
        <v/>
      </c>
      <c r="G1804" s="8">
        <f>IF(F1804="ocorrência","VP",IF(F1804="sem ocorrência","FP",""))</f>
        <v/>
      </c>
      <c r="H1804" s="7" t="n"/>
      <c r="I1804" s="8">
        <f>IF(H1804&lt;&gt;"",H1804,G1804)</f>
        <v/>
      </c>
    </row>
    <row r="1805">
      <c r="A1805" s="9" t="n"/>
      <c r="B1805" s="9" t="n"/>
      <c r="C1805" s="9" t="n"/>
      <c r="D1805" s="9" t="n"/>
      <c r="E1805" s="9" t="n"/>
      <c r="F1805" s="8">
        <f>IF(A1805="","",IFERROR(INDEX(Testes!$N$2:$N$500,MATCH(A1805,Testes!$A$2:$A$500,0)),""))</f>
        <v/>
      </c>
      <c r="G1805" s="8">
        <f>IF(F1805="ocorrência","VP",IF(F1805="sem ocorrência","FP",""))</f>
        <v/>
      </c>
      <c r="H1805" s="7" t="n"/>
      <c r="I1805" s="8">
        <f>IF(H1805&lt;&gt;"",H1805,G1805)</f>
        <v/>
      </c>
    </row>
    <row r="1806">
      <c r="A1806" s="9" t="n"/>
      <c r="B1806" s="9" t="n"/>
      <c r="C1806" s="9" t="n"/>
      <c r="D1806" s="9" t="n"/>
      <c r="E1806" s="9" t="n"/>
      <c r="F1806" s="8">
        <f>IF(A1806="","",IFERROR(INDEX(Testes!$N$2:$N$500,MATCH(A1806,Testes!$A$2:$A$500,0)),""))</f>
        <v/>
      </c>
      <c r="G1806" s="8">
        <f>IF(F1806="ocorrência","VP",IF(F1806="sem ocorrência","FP",""))</f>
        <v/>
      </c>
      <c r="H1806" s="7" t="n"/>
      <c r="I1806" s="8">
        <f>IF(H1806&lt;&gt;"",H1806,G1806)</f>
        <v/>
      </c>
    </row>
    <row r="1807">
      <c r="A1807" s="9" t="n"/>
      <c r="B1807" s="9" t="n"/>
      <c r="C1807" s="9" t="n"/>
      <c r="D1807" s="9" t="n"/>
      <c r="E1807" s="9" t="n"/>
      <c r="F1807" s="8">
        <f>IF(A1807="","",IFERROR(INDEX(Testes!$N$2:$N$500,MATCH(A1807,Testes!$A$2:$A$500,0)),""))</f>
        <v/>
      </c>
      <c r="G1807" s="8">
        <f>IF(F1807="ocorrência","VP",IF(F1807="sem ocorrência","FP",""))</f>
        <v/>
      </c>
      <c r="H1807" s="7" t="n"/>
      <c r="I1807" s="8">
        <f>IF(H1807&lt;&gt;"",H1807,G1807)</f>
        <v/>
      </c>
    </row>
    <row r="1808">
      <c r="A1808" s="9" t="n"/>
      <c r="B1808" s="9" t="n"/>
      <c r="C1808" s="9" t="n"/>
      <c r="D1808" s="9" t="n"/>
      <c r="E1808" s="9" t="n"/>
      <c r="F1808" s="8">
        <f>IF(A1808="","",IFERROR(INDEX(Testes!$N$2:$N$500,MATCH(A1808,Testes!$A$2:$A$500,0)),""))</f>
        <v/>
      </c>
      <c r="G1808" s="8">
        <f>IF(F1808="ocorrência","VP",IF(F1808="sem ocorrência","FP",""))</f>
        <v/>
      </c>
      <c r="H1808" s="7" t="n"/>
      <c r="I1808" s="8">
        <f>IF(H1808&lt;&gt;"",H1808,G1808)</f>
        <v/>
      </c>
    </row>
    <row r="1809">
      <c r="A1809" s="9" t="n"/>
      <c r="B1809" s="9" t="n"/>
      <c r="C1809" s="9" t="n"/>
      <c r="D1809" s="9" t="n"/>
      <c r="E1809" s="9" t="n"/>
      <c r="F1809" s="8">
        <f>IF(A1809="","",IFERROR(INDEX(Testes!$N$2:$N$500,MATCH(A1809,Testes!$A$2:$A$500,0)),""))</f>
        <v/>
      </c>
      <c r="G1809" s="8">
        <f>IF(F1809="ocorrência","VP",IF(F1809="sem ocorrência","FP",""))</f>
        <v/>
      </c>
      <c r="H1809" s="7" t="n"/>
      <c r="I1809" s="8">
        <f>IF(H1809&lt;&gt;"",H1809,G1809)</f>
        <v/>
      </c>
    </row>
    <row r="1810">
      <c r="A1810" s="9" t="n"/>
      <c r="B1810" s="9" t="n"/>
      <c r="C1810" s="9" t="n"/>
      <c r="D1810" s="9" t="n"/>
      <c r="E1810" s="9" t="n"/>
      <c r="F1810" s="8">
        <f>IF(A1810="","",IFERROR(INDEX(Testes!$N$2:$N$500,MATCH(A1810,Testes!$A$2:$A$500,0)),""))</f>
        <v/>
      </c>
      <c r="G1810" s="8">
        <f>IF(F1810="ocorrência","VP",IF(F1810="sem ocorrência","FP",""))</f>
        <v/>
      </c>
      <c r="H1810" s="7" t="n"/>
      <c r="I1810" s="8">
        <f>IF(H1810&lt;&gt;"",H1810,G1810)</f>
        <v/>
      </c>
    </row>
    <row r="1811">
      <c r="A1811" s="9" t="n"/>
      <c r="B1811" s="9" t="n"/>
      <c r="C1811" s="9" t="n"/>
      <c r="D1811" s="9" t="n"/>
      <c r="E1811" s="9" t="n"/>
      <c r="F1811" s="8">
        <f>IF(A1811="","",IFERROR(INDEX(Testes!$N$2:$N$500,MATCH(A1811,Testes!$A$2:$A$500,0)),""))</f>
        <v/>
      </c>
      <c r="G1811" s="8">
        <f>IF(F1811="ocorrência","VP",IF(F1811="sem ocorrência","FP",""))</f>
        <v/>
      </c>
      <c r="H1811" s="7" t="n"/>
      <c r="I1811" s="8">
        <f>IF(H1811&lt;&gt;"",H1811,G1811)</f>
        <v/>
      </c>
    </row>
    <row r="1812">
      <c r="A1812" s="9" t="n"/>
      <c r="B1812" s="9" t="n"/>
      <c r="C1812" s="9" t="n"/>
      <c r="D1812" s="9" t="n"/>
      <c r="E1812" s="9" t="n"/>
      <c r="F1812" s="8">
        <f>IF(A1812="","",IFERROR(INDEX(Testes!$N$2:$N$500,MATCH(A1812,Testes!$A$2:$A$500,0)),""))</f>
        <v/>
      </c>
      <c r="G1812" s="8">
        <f>IF(F1812="ocorrência","VP",IF(F1812="sem ocorrência","FP",""))</f>
        <v/>
      </c>
      <c r="H1812" s="7" t="n"/>
      <c r="I1812" s="8">
        <f>IF(H1812&lt;&gt;"",H1812,G1812)</f>
        <v/>
      </c>
    </row>
    <row r="1813">
      <c r="A1813" s="9" t="n"/>
      <c r="B1813" s="9" t="n"/>
      <c r="C1813" s="9" t="n"/>
      <c r="D1813" s="9" t="n"/>
      <c r="E1813" s="9" t="n"/>
      <c r="F1813" s="8">
        <f>IF(A1813="","",IFERROR(INDEX(Testes!$N$2:$N$500,MATCH(A1813,Testes!$A$2:$A$500,0)),""))</f>
        <v/>
      </c>
      <c r="G1813" s="8">
        <f>IF(F1813="ocorrência","VP",IF(F1813="sem ocorrência","FP",""))</f>
        <v/>
      </c>
      <c r="H1813" s="7" t="n"/>
      <c r="I1813" s="8">
        <f>IF(H1813&lt;&gt;"",H1813,G1813)</f>
        <v/>
      </c>
    </row>
    <row r="1814">
      <c r="A1814" s="9" t="n"/>
      <c r="B1814" s="9" t="n"/>
      <c r="C1814" s="9" t="n"/>
      <c r="D1814" s="9" t="n"/>
      <c r="E1814" s="9" t="n"/>
      <c r="F1814" s="8">
        <f>IF(A1814="","",IFERROR(INDEX(Testes!$N$2:$N$500,MATCH(A1814,Testes!$A$2:$A$500,0)),""))</f>
        <v/>
      </c>
      <c r="G1814" s="8">
        <f>IF(F1814="ocorrência","VP",IF(F1814="sem ocorrência","FP",""))</f>
        <v/>
      </c>
      <c r="H1814" s="7" t="n"/>
      <c r="I1814" s="8">
        <f>IF(H1814&lt;&gt;"",H1814,G1814)</f>
        <v/>
      </c>
    </row>
    <row r="1815">
      <c r="A1815" s="9" t="n"/>
      <c r="B1815" s="9" t="n"/>
      <c r="C1815" s="9" t="n"/>
      <c r="D1815" s="9" t="n"/>
      <c r="E1815" s="9" t="n"/>
      <c r="F1815" s="8">
        <f>IF(A1815="","",IFERROR(INDEX(Testes!$N$2:$N$500,MATCH(A1815,Testes!$A$2:$A$500,0)),""))</f>
        <v/>
      </c>
      <c r="G1815" s="8">
        <f>IF(F1815="ocorrência","VP",IF(F1815="sem ocorrência","FP",""))</f>
        <v/>
      </c>
      <c r="H1815" s="7" t="n"/>
      <c r="I1815" s="8">
        <f>IF(H1815&lt;&gt;"",H1815,G1815)</f>
        <v/>
      </c>
    </row>
    <row r="1816">
      <c r="A1816" s="9" t="n"/>
      <c r="B1816" s="9" t="n"/>
      <c r="C1816" s="9" t="n"/>
      <c r="D1816" s="9" t="n"/>
      <c r="E1816" s="9" t="n"/>
      <c r="F1816" s="8">
        <f>IF(A1816="","",IFERROR(INDEX(Testes!$N$2:$N$500,MATCH(A1816,Testes!$A$2:$A$500,0)),""))</f>
        <v/>
      </c>
      <c r="G1816" s="8">
        <f>IF(F1816="ocorrência","VP",IF(F1816="sem ocorrência","FP",""))</f>
        <v/>
      </c>
      <c r="H1816" s="7" t="n"/>
      <c r="I1816" s="8">
        <f>IF(H1816&lt;&gt;"",H1816,G1816)</f>
        <v/>
      </c>
    </row>
    <row r="1817">
      <c r="A1817" s="9" t="n"/>
      <c r="B1817" s="9" t="n"/>
      <c r="C1817" s="9" t="n"/>
      <c r="D1817" s="9" t="n"/>
      <c r="E1817" s="9" t="n"/>
      <c r="F1817" s="8">
        <f>IF(A1817="","",IFERROR(INDEX(Testes!$N$2:$N$500,MATCH(A1817,Testes!$A$2:$A$500,0)),""))</f>
        <v/>
      </c>
      <c r="G1817" s="8">
        <f>IF(F1817="ocorrência","VP",IF(F1817="sem ocorrência","FP",""))</f>
        <v/>
      </c>
      <c r="H1817" s="7" t="n"/>
      <c r="I1817" s="8">
        <f>IF(H1817&lt;&gt;"",H1817,G1817)</f>
        <v/>
      </c>
    </row>
    <row r="1818">
      <c r="A1818" s="9" t="n"/>
      <c r="B1818" s="9" t="n"/>
      <c r="C1818" s="9" t="n"/>
      <c r="D1818" s="9" t="n"/>
      <c r="E1818" s="9" t="n"/>
      <c r="F1818" s="8">
        <f>IF(A1818="","",IFERROR(INDEX(Testes!$N$2:$N$500,MATCH(A1818,Testes!$A$2:$A$500,0)),""))</f>
        <v/>
      </c>
      <c r="G1818" s="8">
        <f>IF(F1818="ocorrência","VP",IF(F1818="sem ocorrência","FP",""))</f>
        <v/>
      </c>
      <c r="H1818" s="7" t="n"/>
      <c r="I1818" s="8">
        <f>IF(H1818&lt;&gt;"",H1818,G1818)</f>
        <v/>
      </c>
    </row>
    <row r="1819">
      <c r="A1819" s="9" t="n"/>
      <c r="B1819" s="9" t="n"/>
      <c r="C1819" s="9" t="n"/>
      <c r="D1819" s="9" t="n"/>
      <c r="E1819" s="9" t="n"/>
      <c r="F1819" s="8">
        <f>IF(A1819="","",IFERROR(INDEX(Testes!$N$2:$N$500,MATCH(A1819,Testes!$A$2:$A$500,0)),""))</f>
        <v/>
      </c>
      <c r="G1819" s="8">
        <f>IF(F1819="ocorrência","VP",IF(F1819="sem ocorrência","FP",""))</f>
        <v/>
      </c>
      <c r="H1819" s="7" t="n"/>
      <c r="I1819" s="8">
        <f>IF(H1819&lt;&gt;"",H1819,G1819)</f>
        <v/>
      </c>
    </row>
    <row r="1820">
      <c r="A1820" s="9" t="n"/>
      <c r="B1820" s="9" t="n"/>
      <c r="C1820" s="9" t="n"/>
      <c r="D1820" s="9" t="n"/>
      <c r="E1820" s="9" t="n"/>
      <c r="F1820" s="8">
        <f>IF(A1820="","",IFERROR(INDEX(Testes!$N$2:$N$500,MATCH(A1820,Testes!$A$2:$A$500,0)),""))</f>
        <v/>
      </c>
      <c r="G1820" s="8">
        <f>IF(F1820="ocorrência","VP",IF(F1820="sem ocorrência","FP",""))</f>
        <v/>
      </c>
      <c r="H1820" s="7" t="n"/>
      <c r="I1820" s="8">
        <f>IF(H1820&lt;&gt;"",H1820,G1820)</f>
        <v/>
      </c>
    </row>
    <row r="1821">
      <c r="A1821" s="9" t="n"/>
      <c r="B1821" s="9" t="n"/>
      <c r="C1821" s="9" t="n"/>
      <c r="D1821" s="9" t="n"/>
      <c r="E1821" s="9" t="n"/>
      <c r="F1821" s="8">
        <f>IF(A1821="","",IFERROR(INDEX(Testes!$N$2:$N$500,MATCH(A1821,Testes!$A$2:$A$500,0)),""))</f>
        <v/>
      </c>
      <c r="G1821" s="8">
        <f>IF(F1821="ocorrência","VP",IF(F1821="sem ocorrência","FP",""))</f>
        <v/>
      </c>
      <c r="H1821" s="7" t="n"/>
      <c r="I1821" s="8">
        <f>IF(H1821&lt;&gt;"",H1821,G1821)</f>
        <v/>
      </c>
    </row>
    <row r="1822">
      <c r="A1822" s="9" t="n"/>
      <c r="B1822" s="9" t="n"/>
      <c r="C1822" s="9" t="n"/>
      <c r="D1822" s="9" t="n"/>
      <c r="E1822" s="9" t="n"/>
      <c r="F1822" s="8">
        <f>IF(A1822="","",IFERROR(INDEX(Testes!$N$2:$N$500,MATCH(A1822,Testes!$A$2:$A$500,0)),""))</f>
        <v/>
      </c>
      <c r="G1822" s="8">
        <f>IF(F1822="ocorrência","VP",IF(F1822="sem ocorrência","FP",""))</f>
        <v/>
      </c>
      <c r="H1822" s="7" t="n"/>
      <c r="I1822" s="8">
        <f>IF(H1822&lt;&gt;"",H1822,G1822)</f>
        <v/>
      </c>
    </row>
    <row r="1823">
      <c r="A1823" s="9" t="n"/>
      <c r="B1823" s="9" t="n"/>
      <c r="C1823" s="9" t="n"/>
      <c r="D1823" s="9" t="n"/>
      <c r="E1823" s="9" t="n"/>
      <c r="F1823" s="8">
        <f>IF(A1823="","",IFERROR(INDEX(Testes!$N$2:$N$500,MATCH(A1823,Testes!$A$2:$A$500,0)),""))</f>
        <v/>
      </c>
      <c r="G1823" s="8">
        <f>IF(F1823="ocorrência","VP",IF(F1823="sem ocorrência","FP",""))</f>
        <v/>
      </c>
      <c r="H1823" s="7" t="n"/>
      <c r="I1823" s="8">
        <f>IF(H1823&lt;&gt;"",H1823,G1823)</f>
        <v/>
      </c>
    </row>
    <row r="1824">
      <c r="A1824" s="9" t="n"/>
      <c r="B1824" s="9" t="n"/>
      <c r="C1824" s="9" t="n"/>
      <c r="D1824" s="9" t="n"/>
      <c r="E1824" s="9" t="n"/>
      <c r="F1824" s="8">
        <f>IF(A1824="","",IFERROR(INDEX(Testes!$N$2:$N$500,MATCH(A1824,Testes!$A$2:$A$500,0)),""))</f>
        <v/>
      </c>
      <c r="G1824" s="8">
        <f>IF(F1824="ocorrência","VP",IF(F1824="sem ocorrência","FP",""))</f>
        <v/>
      </c>
      <c r="H1824" s="7" t="n"/>
      <c r="I1824" s="8">
        <f>IF(H1824&lt;&gt;"",H1824,G1824)</f>
        <v/>
      </c>
    </row>
    <row r="1825">
      <c r="A1825" s="9" t="n"/>
      <c r="B1825" s="9" t="n"/>
      <c r="C1825" s="9" t="n"/>
      <c r="D1825" s="9" t="n"/>
      <c r="E1825" s="9" t="n"/>
      <c r="F1825" s="8">
        <f>IF(A1825="","",IFERROR(INDEX(Testes!$N$2:$N$500,MATCH(A1825,Testes!$A$2:$A$500,0)),""))</f>
        <v/>
      </c>
      <c r="G1825" s="8">
        <f>IF(F1825="ocorrência","VP",IF(F1825="sem ocorrência","FP",""))</f>
        <v/>
      </c>
      <c r="H1825" s="7" t="n"/>
      <c r="I1825" s="8">
        <f>IF(H1825&lt;&gt;"",H1825,G1825)</f>
        <v/>
      </c>
    </row>
    <row r="1826">
      <c r="A1826" s="9" t="n"/>
      <c r="B1826" s="9" t="n"/>
      <c r="C1826" s="9" t="n"/>
      <c r="D1826" s="9" t="n"/>
      <c r="E1826" s="9" t="n"/>
      <c r="F1826" s="8">
        <f>IF(A1826="","",IFERROR(INDEX(Testes!$N$2:$N$500,MATCH(A1826,Testes!$A$2:$A$500,0)),""))</f>
        <v/>
      </c>
      <c r="G1826" s="8">
        <f>IF(F1826="ocorrência","VP",IF(F1826="sem ocorrência","FP",""))</f>
        <v/>
      </c>
      <c r="H1826" s="7" t="n"/>
      <c r="I1826" s="8">
        <f>IF(H1826&lt;&gt;"",H1826,G1826)</f>
        <v/>
      </c>
    </row>
    <row r="1827">
      <c r="A1827" s="9" t="n"/>
      <c r="B1827" s="9" t="n"/>
      <c r="C1827" s="9" t="n"/>
      <c r="D1827" s="9" t="n"/>
      <c r="E1827" s="9" t="n"/>
      <c r="F1827" s="8">
        <f>IF(A1827="","",IFERROR(INDEX(Testes!$N$2:$N$500,MATCH(A1827,Testes!$A$2:$A$500,0)),""))</f>
        <v/>
      </c>
      <c r="G1827" s="8">
        <f>IF(F1827="ocorrência","VP",IF(F1827="sem ocorrência","FP",""))</f>
        <v/>
      </c>
      <c r="H1827" s="7" t="n"/>
      <c r="I1827" s="8">
        <f>IF(H1827&lt;&gt;"",H1827,G1827)</f>
        <v/>
      </c>
    </row>
    <row r="1828">
      <c r="A1828" s="9" t="n"/>
      <c r="B1828" s="9" t="n"/>
      <c r="C1828" s="9" t="n"/>
      <c r="D1828" s="9" t="n"/>
      <c r="E1828" s="9" t="n"/>
      <c r="F1828" s="8">
        <f>IF(A1828="","",IFERROR(INDEX(Testes!$N$2:$N$500,MATCH(A1828,Testes!$A$2:$A$500,0)),""))</f>
        <v/>
      </c>
      <c r="G1828" s="8">
        <f>IF(F1828="ocorrência","VP",IF(F1828="sem ocorrência","FP",""))</f>
        <v/>
      </c>
      <c r="H1828" s="7" t="n"/>
      <c r="I1828" s="8">
        <f>IF(H1828&lt;&gt;"",H1828,G1828)</f>
        <v/>
      </c>
    </row>
    <row r="1829">
      <c r="A1829" s="9" t="n"/>
      <c r="B1829" s="9" t="n"/>
      <c r="C1829" s="9" t="n"/>
      <c r="D1829" s="9" t="n"/>
      <c r="E1829" s="9" t="n"/>
      <c r="F1829" s="8">
        <f>IF(A1829="","",IFERROR(INDEX(Testes!$N$2:$N$500,MATCH(A1829,Testes!$A$2:$A$500,0)),""))</f>
        <v/>
      </c>
      <c r="G1829" s="8">
        <f>IF(F1829="ocorrência","VP",IF(F1829="sem ocorrência","FP",""))</f>
        <v/>
      </c>
      <c r="H1829" s="7" t="n"/>
      <c r="I1829" s="8">
        <f>IF(H1829&lt;&gt;"",H1829,G1829)</f>
        <v/>
      </c>
    </row>
    <row r="1830">
      <c r="A1830" s="9" t="n"/>
      <c r="B1830" s="9" t="n"/>
      <c r="C1830" s="9" t="n"/>
      <c r="D1830" s="9" t="n"/>
      <c r="E1830" s="9" t="n"/>
      <c r="F1830" s="8">
        <f>IF(A1830="","",IFERROR(INDEX(Testes!$N$2:$N$500,MATCH(A1830,Testes!$A$2:$A$500,0)),""))</f>
        <v/>
      </c>
      <c r="G1830" s="8">
        <f>IF(F1830="ocorrência","VP",IF(F1830="sem ocorrência","FP",""))</f>
        <v/>
      </c>
      <c r="H1830" s="7" t="n"/>
      <c r="I1830" s="8">
        <f>IF(H1830&lt;&gt;"",H1830,G1830)</f>
        <v/>
      </c>
    </row>
    <row r="1831">
      <c r="A1831" s="9" t="n"/>
      <c r="B1831" s="9" t="n"/>
      <c r="C1831" s="9" t="n"/>
      <c r="D1831" s="9" t="n"/>
      <c r="E1831" s="9" t="n"/>
      <c r="F1831" s="8">
        <f>IF(A1831="","",IFERROR(INDEX(Testes!$N$2:$N$500,MATCH(A1831,Testes!$A$2:$A$500,0)),""))</f>
        <v/>
      </c>
      <c r="G1831" s="8">
        <f>IF(F1831="ocorrência","VP",IF(F1831="sem ocorrência","FP",""))</f>
        <v/>
      </c>
      <c r="H1831" s="7" t="n"/>
      <c r="I1831" s="8">
        <f>IF(H1831&lt;&gt;"",H1831,G1831)</f>
        <v/>
      </c>
    </row>
    <row r="1832">
      <c r="A1832" s="9" t="n"/>
      <c r="B1832" s="9" t="n"/>
      <c r="C1832" s="9" t="n"/>
      <c r="D1832" s="9" t="n"/>
      <c r="E1832" s="9" t="n"/>
      <c r="F1832" s="8">
        <f>IF(A1832="","",IFERROR(INDEX(Testes!$N$2:$N$500,MATCH(A1832,Testes!$A$2:$A$500,0)),""))</f>
        <v/>
      </c>
      <c r="G1832" s="8">
        <f>IF(F1832="ocorrência","VP",IF(F1832="sem ocorrência","FP",""))</f>
        <v/>
      </c>
      <c r="H1832" s="7" t="n"/>
      <c r="I1832" s="8">
        <f>IF(H1832&lt;&gt;"",H1832,G1832)</f>
        <v/>
      </c>
    </row>
    <row r="1833">
      <c r="A1833" s="9" t="n"/>
      <c r="B1833" s="9" t="n"/>
      <c r="C1833" s="9" t="n"/>
      <c r="D1833" s="9" t="n"/>
      <c r="E1833" s="9" t="n"/>
      <c r="F1833" s="8">
        <f>IF(A1833="","",IFERROR(INDEX(Testes!$N$2:$N$500,MATCH(A1833,Testes!$A$2:$A$500,0)),""))</f>
        <v/>
      </c>
      <c r="G1833" s="8">
        <f>IF(F1833="ocorrência","VP",IF(F1833="sem ocorrência","FP",""))</f>
        <v/>
      </c>
      <c r="H1833" s="7" t="n"/>
      <c r="I1833" s="8">
        <f>IF(H1833&lt;&gt;"",H1833,G1833)</f>
        <v/>
      </c>
    </row>
    <row r="1834">
      <c r="A1834" s="9" t="n"/>
      <c r="B1834" s="9" t="n"/>
      <c r="C1834" s="9" t="n"/>
      <c r="D1834" s="9" t="n"/>
      <c r="E1834" s="9" t="n"/>
      <c r="F1834" s="8">
        <f>IF(A1834="","",IFERROR(INDEX(Testes!$N$2:$N$500,MATCH(A1834,Testes!$A$2:$A$500,0)),""))</f>
        <v/>
      </c>
      <c r="G1834" s="8">
        <f>IF(F1834="ocorrência","VP",IF(F1834="sem ocorrência","FP",""))</f>
        <v/>
      </c>
      <c r="H1834" s="7" t="n"/>
      <c r="I1834" s="8">
        <f>IF(H1834&lt;&gt;"",H1834,G1834)</f>
        <v/>
      </c>
    </row>
    <row r="1835">
      <c r="A1835" s="9" t="n"/>
      <c r="B1835" s="9" t="n"/>
      <c r="C1835" s="9" t="n"/>
      <c r="D1835" s="9" t="n"/>
      <c r="E1835" s="9" t="n"/>
      <c r="F1835" s="8">
        <f>IF(A1835="","",IFERROR(INDEX(Testes!$N$2:$N$500,MATCH(A1835,Testes!$A$2:$A$500,0)),""))</f>
        <v/>
      </c>
      <c r="G1835" s="8">
        <f>IF(F1835="ocorrência","VP",IF(F1835="sem ocorrência","FP",""))</f>
        <v/>
      </c>
      <c r="H1835" s="7" t="n"/>
      <c r="I1835" s="8">
        <f>IF(H1835&lt;&gt;"",H1835,G1835)</f>
        <v/>
      </c>
    </row>
    <row r="1836">
      <c r="A1836" s="9" t="n"/>
      <c r="B1836" s="9" t="n"/>
      <c r="C1836" s="9" t="n"/>
      <c r="D1836" s="9" t="n"/>
      <c r="E1836" s="9" t="n"/>
      <c r="F1836" s="8">
        <f>IF(A1836="","",IFERROR(INDEX(Testes!$N$2:$N$500,MATCH(A1836,Testes!$A$2:$A$500,0)),""))</f>
        <v/>
      </c>
      <c r="G1836" s="8">
        <f>IF(F1836="ocorrência","VP",IF(F1836="sem ocorrência","FP",""))</f>
        <v/>
      </c>
      <c r="H1836" s="7" t="n"/>
      <c r="I1836" s="8">
        <f>IF(H1836&lt;&gt;"",H1836,G1836)</f>
        <v/>
      </c>
    </row>
    <row r="1837">
      <c r="A1837" s="9" t="n"/>
      <c r="B1837" s="9" t="n"/>
      <c r="C1837" s="9" t="n"/>
      <c r="D1837" s="9" t="n"/>
      <c r="E1837" s="9" t="n"/>
      <c r="F1837" s="8">
        <f>IF(A1837="","",IFERROR(INDEX(Testes!$N$2:$N$500,MATCH(A1837,Testes!$A$2:$A$500,0)),""))</f>
        <v/>
      </c>
      <c r="G1837" s="8">
        <f>IF(F1837="ocorrência","VP",IF(F1837="sem ocorrência","FP",""))</f>
        <v/>
      </c>
      <c r="H1837" s="7" t="n"/>
      <c r="I1837" s="8">
        <f>IF(H1837&lt;&gt;"",H1837,G1837)</f>
        <v/>
      </c>
    </row>
    <row r="1838">
      <c r="A1838" s="9" t="n"/>
      <c r="B1838" s="9" t="n"/>
      <c r="C1838" s="9" t="n"/>
      <c r="D1838" s="9" t="n"/>
      <c r="E1838" s="9" t="n"/>
      <c r="F1838" s="8">
        <f>IF(A1838="","",IFERROR(INDEX(Testes!$N$2:$N$500,MATCH(A1838,Testes!$A$2:$A$500,0)),""))</f>
        <v/>
      </c>
      <c r="G1838" s="8">
        <f>IF(F1838="ocorrência","VP",IF(F1838="sem ocorrência","FP",""))</f>
        <v/>
      </c>
      <c r="H1838" s="7" t="n"/>
      <c r="I1838" s="8">
        <f>IF(H1838&lt;&gt;"",H1838,G1838)</f>
        <v/>
      </c>
    </row>
    <row r="1839">
      <c r="A1839" s="9" t="n"/>
      <c r="B1839" s="9" t="n"/>
      <c r="C1839" s="9" t="n"/>
      <c r="D1839" s="9" t="n"/>
      <c r="E1839" s="9" t="n"/>
      <c r="F1839" s="8">
        <f>IF(A1839="","",IFERROR(INDEX(Testes!$N$2:$N$500,MATCH(A1839,Testes!$A$2:$A$500,0)),""))</f>
        <v/>
      </c>
      <c r="G1839" s="8">
        <f>IF(F1839="ocorrência","VP",IF(F1839="sem ocorrência","FP",""))</f>
        <v/>
      </c>
      <c r="H1839" s="7" t="n"/>
      <c r="I1839" s="8">
        <f>IF(H1839&lt;&gt;"",H1839,G1839)</f>
        <v/>
      </c>
    </row>
    <row r="1840">
      <c r="A1840" s="9" t="n"/>
      <c r="B1840" s="9" t="n"/>
      <c r="C1840" s="9" t="n"/>
      <c r="D1840" s="9" t="n"/>
      <c r="E1840" s="9" t="n"/>
      <c r="F1840" s="8">
        <f>IF(A1840="","",IFERROR(INDEX(Testes!$N$2:$N$500,MATCH(A1840,Testes!$A$2:$A$500,0)),""))</f>
        <v/>
      </c>
      <c r="G1840" s="8">
        <f>IF(F1840="ocorrência","VP",IF(F1840="sem ocorrência","FP",""))</f>
        <v/>
      </c>
      <c r="H1840" s="7" t="n"/>
      <c r="I1840" s="8">
        <f>IF(H1840&lt;&gt;"",H1840,G1840)</f>
        <v/>
      </c>
    </row>
    <row r="1841">
      <c r="A1841" s="9" t="n"/>
      <c r="B1841" s="9" t="n"/>
      <c r="C1841" s="9" t="n"/>
      <c r="D1841" s="9" t="n"/>
      <c r="E1841" s="9" t="n"/>
      <c r="F1841" s="8">
        <f>IF(A1841="","",IFERROR(INDEX(Testes!$N$2:$N$500,MATCH(A1841,Testes!$A$2:$A$500,0)),""))</f>
        <v/>
      </c>
      <c r="G1841" s="8">
        <f>IF(F1841="ocorrência","VP",IF(F1841="sem ocorrência","FP",""))</f>
        <v/>
      </c>
      <c r="H1841" s="7" t="n"/>
      <c r="I1841" s="8">
        <f>IF(H1841&lt;&gt;"",H1841,G1841)</f>
        <v/>
      </c>
    </row>
    <row r="1842">
      <c r="A1842" s="9" t="n"/>
      <c r="B1842" s="9" t="n"/>
      <c r="C1842" s="9" t="n"/>
      <c r="D1842" s="9" t="n"/>
      <c r="E1842" s="9" t="n"/>
      <c r="F1842" s="8">
        <f>IF(A1842="","",IFERROR(INDEX(Testes!$N$2:$N$500,MATCH(A1842,Testes!$A$2:$A$500,0)),""))</f>
        <v/>
      </c>
      <c r="G1842" s="8">
        <f>IF(F1842="ocorrência","VP",IF(F1842="sem ocorrência","FP",""))</f>
        <v/>
      </c>
      <c r="H1842" s="7" t="n"/>
      <c r="I1842" s="8">
        <f>IF(H1842&lt;&gt;"",H1842,G1842)</f>
        <v/>
      </c>
    </row>
    <row r="1843">
      <c r="A1843" s="9" t="n"/>
      <c r="B1843" s="9" t="n"/>
      <c r="C1843" s="9" t="n"/>
      <c r="D1843" s="9" t="n"/>
      <c r="E1843" s="9" t="n"/>
      <c r="F1843" s="8">
        <f>IF(A1843="","",IFERROR(INDEX(Testes!$N$2:$N$500,MATCH(A1843,Testes!$A$2:$A$500,0)),""))</f>
        <v/>
      </c>
      <c r="G1843" s="8">
        <f>IF(F1843="ocorrência","VP",IF(F1843="sem ocorrência","FP",""))</f>
        <v/>
      </c>
      <c r="H1843" s="7" t="n"/>
      <c r="I1843" s="8">
        <f>IF(H1843&lt;&gt;"",H1843,G1843)</f>
        <v/>
      </c>
    </row>
    <row r="1844">
      <c r="A1844" s="9" t="n"/>
      <c r="B1844" s="9" t="n"/>
      <c r="C1844" s="9" t="n"/>
      <c r="D1844" s="9" t="n"/>
      <c r="E1844" s="9" t="n"/>
      <c r="F1844" s="8">
        <f>IF(A1844="","",IFERROR(INDEX(Testes!$N$2:$N$500,MATCH(A1844,Testes!$A$2:$A$500,0)),""))</f>
        <v/>
      </c>
      <c r="G1844" s="8">
        <f>IF(F1844="ocorrência","VP",IF(F1844="sem ocorrência","FP",""))</f>
        <v/>
      </c>
      <c r="H1844" s="7" t="n"/>
      <c r="I1844" s="8">
        <f>IF(H1844&lt;&gt;"",H1844,G1844)</f>
        <v/>
      </c>
    </row>
    <row r="1845">
      <c r="A1845" s="9" t="n"/>
      <c r="B1845" s="9" t="n"/>
      <c r="C1845" s="9" t="n"/>
      <c r="D1845" s="9" t="n"/>
      <c r="E1845" s="9" t="n"/>
      <c r="F1845" s="8">
        <f>IF(A1845="","",IFERROR(INDEX(Testes!$N$2:$N$500,MATCH(A1845,Testes!$A$2:$A$500,0)),""))</f>
        <v/>
      </c>
      <c r="G1845" s="8">
        <f>IF(F1845="ocorrência","VP",IF(F1845="sem ocorrência","FP",""))</f>
        <v/>
      </c>
      <c r="H1845" s="7" t="n"/>
      <c r="I1845" s="8">
        <f>IF(H1845&lt;&gt;"",H1845,G1845)</f>
        <v/>
      </c>
    </row>
    <row r="1846">
      <c r="A1846" s="9" t="n"/>
      <c r="B1846" s="9" t="n"/>
      <c r="C1846" s="9" t="n"/>
      <c r="D1846" s="9" t="n"/>
      <c r="E1846" s="9" t="n"/>
      <c r="F1846" s="8">
        <f>IF(A1846="","",IFERROR(INDEX(Testes!$N$2:$N$500,MATCH(A1846,Testes!$A$2:$A$500,0)),""))</f>
        <v/>
      </c>
      <c r="G1846" s="8">
        <f>IF(F1846="ocorrência","VP",IF(F1846="sem ocorrência","FP",""))</f>
        <v/>
      </c>
      <c r="H1846" s="7" t="n"/>
      <c r="I1846" s="8">
        <f>IF(H1846&lt;&gt;"",H1846,G1846)</f>
        <v/>
      </c>
    </row>
    <row r="1847">
      <c r="A1847" s="9" t="n"/>
      <c r="B1847" s="9" t="n"/>
      <c r="C1847" s="9" t="n"/>
      <c r="D1847" s="9" t="n"/>
      <c r="E1847" s="9" t="n"/>
      <c r="F1847" s="8">
        <f>IF(A1847="","",IFERROR(INDEX(Testes!$N$2:$N$500,MATCH(A1847,Testes!$A$2:$A$500,0)),""))</f>
        <v/>
      </c>
      <c r="G1847" s="8">
        <f>IF(F1847="ocorrência","VP",IF(F1847="sem ocorrência","FP",""))</f>
        <v/>
      </c>
      <c r="H1847" s="7" t="n"/>
      <c r="I1847" s="8">
        <f>IF(H1847&lt;&gt;"",H1847,G1847)</f>
        <v/>
      </c>
    </row>
    <row r="1848">
      <c r="A1848" s="9" t="n"/>
      <c r="B1848" s="9" t="n"/>
      <c r="C1848" s="9" t="n"/>
      <c r="D1848" s="9" t="n"/>
      <c r="E1848" s="9" t="n"/>
      <c r="F1848" s="8">
        <f>IF(A1848="","",IFERROR(INDEX(Testes!$N$2:$N$500,MATCH(A1848,Testes!$A$2:$A$500,0)),""))</f>
        <v/>
      </c>
      <c r="G1848" s="8">
        <f>IF(F1848="ocorrência","VP",IF(F1848="sem ocorrência","FP",""))</f>
        <v/>
      </c>
      <c r="H1848" s="7" t="n"/>
      <c r="I1848" s="8">
        <f>IF(H1848&lt;&gt;"",H1848,G1848)</f>
        <v/>
      </c>
    </row>
    <row r="1849">
      <c r="A1849" s="9" t="n"/>
      <c r="B1849" s="9" t="n"/>
      <c r="C1849" s="9" t="n"/>
      <c r="D1849" s="9" t="n"/>
      <c r="E1849" s="9" t="n"/>
      <c r="F1849" s="8">
        <f>IF(A1849="","",IFERROR(INDEX(Testes!$N$2:$N$500,MATCH(A1849,Testes!$A$2:$A$500,0)),""))</f>
        <v/>
      </c>
      <c r="G1849" s="8">
        <f>IF(F1849="ocorrência","VP",IF(F1849="sem ocorrência","FP",""))</f>
        <v/>
      </c>
      <c r="H1849" s="7" t="n"/>
      <c r="I1849" s="8">
        <f>IF(H1849&lt;&gt;"",H1849,G1849)</f>
        <v/>
      </c>
    </row>
    <row r="1850">
      <c r="A1850" s="9" t="n"/>
      <c r="B1850" s="9" t="n"/>
      <c r="C1850" s="9" t="n"/>
      <c r="D1850" s="9" t="n"/>
      <c r="E1850" s="9" t="n"/>
      <c r="F1850" s="8">
        <f>IF(A1850="","",IFERROR(INDEX(Testes!$N$2:$N$500,MATCH(A1850,Testes!$A$2:$A$500,0)),""))</f>
        <v/>
      </c>
      <c r="G1850" s="8">
        <f>IF(F1850="ocorrência","VP",IF(F1850="sem ocorrência","FP",""))</f>
        <v/>
      </c>
      <c r="H1850" s="7" t="n"/>
      <c r="I1850" s="8">
        <f>IF(H1850&lt;&gt;"",H1850,G1850)</f>
        <v/>
      </c>
    </row>
    <row r="1851">
      <c r="A1851" s="9" t="n"/>
      <c r="B1851" s="9" t="n"/>
      <c r="C1851" s="9" t="n"/>
      <c r="D1851" s="9" t="n"/>
      <c r="E1851" s="9" t="n"/>
      <c r="F1851" s="8">
        <f>IF(A1851="","",IFERROR(INDEX(Testes!$N$2:$N$500,MATCH(A1851,Testes!$A$2:$A$500,0)),""))</f>
        <v/>
      </c>
      <c r="G1851" s="8">
        <f>IF(F1851="ocorrência","VP",IF(F1851="sem ocorrência","FP",""))</f>
        <v/>
      </c>
      <c r="H1851" s="7" t="n"/>
      <c r="I1851" s="8">
        <f>IF(H1851&lt;&gt;"",H1851,G1851)</f>
        <v/>
      </c>
    </row>
    <row r="1852">
      <c r="A1852" s="9" t="n"/>
      <c r="B1852" s="9" t="n"/>
      <c r="C1852" s="9" t="n"/>
      <c r="D1852" s="9" t="n"/>
      <c r="E1852" s="9" t="n"/>
      <c r="F1852" s="8">
        <f>IF(A1852="","",IFERROR(INDEX(Testes!$N$2:$N$500,MATCH(A1852,Testes!$A$2:$A$500,0)),""))</f>
        <v/>
      </c>
      <c r="G1852" s="8">
        <f>IF(F1852="ocorrência","VP",IF(F1852="sem ocorrência","FP",""))</f>
        <v/>
      </c>
      <c r="H1852" s="7" t="n"/>
      <c r="I1852" s="8">
        <f>IF(H1852&lt;&gt;"",H1852,G1852)</f>
        <v/>
      </c>
    </row>
    <row r="1853">
      <c r="A1853" s="9" t="n"/>
      <c r="B1853" s="9" t="n"/>
      <c r="C1853" s="9" t="n"/>
      <c r="D1853" s="9" t="n"/>
      <c r="E1853" s="9" t="n"/>
      <c r="F1853" s="8">
        <f>IF(A1853="","",IFERROR(INDEX(Testes!$N$2:$N$500,MATCH(A1853,Testes!$A$2:$A$500,0)),""))</f>
        <v/>
      </c>
      <c r="G1853" s="8">
        <f>IF(F1853="ocorrência","VP",IF(F1853="sem ocorrência","FP",""))</f>
        <v/>
      </c>
      <c r="H1853" s="7" t="n"/>
      <c r="I1853" s="8">
        <f>IF(H1853&lt;&gt;"",H1853,G1853)</f>
        <v/>
      </c>
    </row>
    <row r="1854">
      <c r="A1854" s="9" t="n"/>
      <c r="B1854" s="9" t="n"/>
      <c r="C1854" s="9" t="n"/>
      <c r="D1854" s="9" t="n"/>
      <c r="E1854" s="9" t="n"/>
      <c r="F1854" s="8">
        <f>IF(A1854="","",IFERROR(INDEX(Testes!$N$2:$N$500,MATCH(A1854,Testes!$A$2:$A$500,0)),""))</f>
        <v/>
      </c>
      <c r="G1854" s="8">
        <f>IF(F1854="ocorrência","VP",IF(F1854="sem ocorrência","FP",""))</f>
        <v/>
      </c>
      <c r="H1854" s="7" t="n"/>
      <c r="I1854" s="8">
        <f>IF(H1854&lt;&gt;"",H1854,G1854)</f>
        <v/>
      </c>
    </row>
    <row r="1855">
      <c r="A1855" s="9" t="n"/>
      <c r="B1855" s="9" t="n"/>
      <c r="C1855" s="9" t="n"/>
      <c r="D1855" s="9" t="n"/>
      <c r="E1855" s="9" t="n"/>
      <c r="F1855" s="8">
        <f>IF(A1855="","",IFERROR(INDEX(Testes!$N$2:$N$500,MATCH(A1855,Testes!$A$2:$A$500,0)),""))</f>
        <v/>
      </c>
      <c r="G1855" s="8">
        <f>IF(F1855="ocorrência","VP",IF(F1855="sem ocorrência","FP",""))</f>
        <v/>
      </c>
      <c r="H1855" s="7" t="n"/>
      <c r="I1855" s="8">
        <f>IF(H1855&lt;&gt;"",H1855,G1855)</f>
        <v/>
      </c>
    </row>
    <row r="1856">
      <c r="A1856" s="9" t="n"/>
      <c r="B1856" s="9" t="n"/>
      <c r="C1856" s="9" t="n"/>
      <c r="D1856" s="9" t="n"/>
      <c r="E1856" s="9" t="n"/>
      <c r="F1856" s="8">
        <f>IF(A1856="","",IFERROR(INDEX(Testes!$N$2:$N$500,MATCH(A1856,Testes!$A$2:$A$500,0)),""))</f>
        <v/>
      </c>
      <c r="G1856" s="8">
        <f>IF(F1856="ocorrência","VP",IF(F1856="sem ocorrência","FP",""))</f>
        <v/>
      </c>
      <c r="H1856" s="7" t="n"/>
      <c r="I1856" s="8">
        <f>IF(H1856&lt;&gt;"",H1856,G1856)</f>
        <v/>
      </c>
    </row>
    <row r="1857">
      <c r="A1857" s="9" t="n"/>
      <c r="B1857" s="9" t="n"/>
      <c r="C1857" s="9" t="n"/>
      <c r="D1857" s="9" t="n"/>
      <c r="E1857" s="9" t="n"/>
      <c r="F1857" s="8">
        <f>IF(A1857="","",IFERROR(INDEX(Testes!$N$2:$N$500,MATCH(A1857,Testes!$A$2:$A$500,0)),""))</f>
        <v/>
      </c>
      <c r="G1857" s="8">
        <f>IF(F1857="ocorrência","VP",IF(F1857="sem ocorrência","FP",""))</f>
        <v/>
      </c>
      <c r="H1857" s="7" t="n"/>
      <c r="I1857" s="8">
        <f>IF(H1857&lt;&gt;"",H1857,G1857)</f>
        <v/>
      </c>
    </row>
    <row r="1858">
      <c r="A1858" s="9" t="n"/>
      <c r="B1858" s="9" t="n"/>
      <c r="C1858" s="9" t="n"/>
      <c r="D1858" s="9" t="n"/>
      <c r="E1858" s="9" t="n"/>
      <c r="F1858" s="8">
        <f>IF(A1858="","",IFERROR(INDEX(Testes!$N$2:$N$500,MATCH(A1858,Testes!$A$2:$A$500,0)),""))</f>
        <v/>
      </c>
      <c r="G1858" s="8">
        <f>IF(F1858="ocorrência","VP",IF(F1858="sem ocorrência","FP",""))</f>
        <v/>
      </c>
      <c r="H1858" s="7" t="n"/>
      <c r="I1858" s="8">
        <f>IF(H1858&lt;&gt;"",H1858,G1858)</f>
        <v/>
      </c>
    </row>
    <row r="1859">
      <c r="A1859" s="9" t="n"/>
      <c r="B1859" s="9" t="n"/>
      <c r="C1859" s="9" t="n"/>
      <c r="D1859" s="9" t="n"/>
      <c r="E1859" s="9" t="n"/>
      <c r="F1859" s="8">
        <f>IF(A1859="","",IFERROR(INDEX(Testes!$N$2:$N$500,MATCH(A1859,Testes!$A$2:$A$500,0)),""))</f>
        <v/>
      </c>
      <c r="G1859" s="8">
        <f>IF(F1859="ocorrência","VP",IF(F1859="sem ocorrência","FP",""))</f>
        <v/>
      </c>
      <c r="H1859" s="7" t="n"/>
      <c r="I1859" s="8">
        <f>IF(H1859&lt;&gt;"",H1859,G1859)</f>
        <v/>
      </c>
    </row>
    <row r="1860">
      <c r="A1860" s="9" t="n"/>
      <c r="B1860" s="9" t="n"/>
      <c r="C1860" s="9" t="n"/>
      <c r="D1860" s="9" t="n"/>
      <c r="E1860" s="9" t="n"/>
      <c r="F1860" s="8">
        <f>IF(A1860="","",IFERROR(INDEX(Testes!$N$2:$N$500,MATCH(A1860,Testes!$A$2:$A$500,0)),""))</f>
        <v/>
      </c>
      <c r="G1860" s="8">
        <f>IF(F1860="ocorrência","VP",IF(F1860="sem ocorrência","FP",""))</f>
        <v/>
      </c>
      <c r="H1860" s="7" t="n"/>
      <c r="I1860" s="8">
        <f>IF(H1860&lt;&gt;"",H1860,G1860)</f>
        <v/>
      </c>
    </row>
    <row r="1861">
      <c r="A1861" s="9" t="n"/>
      <c r="B1861" s="9" t="n"/>
      <c r="C1861" s="9" t="n"/>
      <c r="D1861" s="9" t="n"/>
      <c r="E1861" s="9" t="n"/>
      <c r="F1861" s="8">
        <f>IF(A1861="","",IFERROR(INDEX(Testes!$N$2:$N$500,MATCH(A1861,Testes!$A$2:$A$500,0)),""))</f>
        <v/>
      </c>
      <c r="G1861" s="8">
        <f>IF(F1861="ocorrência","VP",IF(F1861="sem ocorrência","FP",""))</f>
        <v/>
      </c>
      <c r="H1861" s="7" t="n"/>
      <c r="I1861" s="8">
        <f>IF(H1861&lt;&gt;"",H1861,G1861)</f>
        <v/>
      </c>
    </row>
    <row r="1862">
      <c r="A1862" s="9" t="n"/>
      <c r="B1862" s="9" t="n"/>
      <c r="C1862" s="9" t="n"/>
      <c r="D1862" s="9" t="n"/>
      <c r="E1862" s="9" t="n"/>
      <c r="F1862" s="8">
        <f>IF(A1862="","",IFERROR(INDEX(Testes!$N$2:$N$500,MATCH(A1862,Testes!$A$2:$A$500,0)),""))</f>
        <v/>
      </c>
      <c r="G1862" s="8">
        <f>IF(F1862="ocorrência","VP",IF(F1862="sem ocorrência","FP",""))</f>
        <v/>
      </c>
      <c r="H1862" s="7" t="n"/>
      <c r="I1862" s="8">
        <f>IF(H1862&lt;&gt;"",H1862,G1862)</f>
        <v/>
      </c>
    </row>
    <row r="1863">
      <c r="A1863" s="9" t="n"/>
      <c r="B1863" s="9" t="n"/>
      <c r="C1863" s="9" t="n"/>
      <c r="D1863" s="9" t="n"/>
      <c r="E1863" s="9" t="n"/>
      <c r="F1863" s="8">
        <f>IF(A1863="","",IFERROR(INDEX(Testes!$N$2:$N$500,MATCH(A1863,Testes!$A$2:$A$500,0)),""))</f>
        <v/>
      </c>
      <c r="G1863" s="8">
        <f>IF(F1863="ocorrência","VP",IF(F1863="sem ocorrência","FP",""))</f>
        <v/>
      </c>
      <c r="H1863" s="7" t="n"/>
      <c r="I1863" s="8">
        <f>IF(H1863&lt;&gt;"",H1863,G1863)</f>
        <v/>
      </c>
    </row>
    <row r="1864">
      <c r="A1864" s="9" t="n"/>
      <c r="B1864" s="9" t="n"/>
      <c r="C1864" s="9" t="n"/>
      <c r="D1864" s="9" t="n"/>
      <c r="E1864" s="9" t="n"/>
      <c r="F1864" s="8">
        <f>IF(A1864="","",IFERROR(INDEX(Testes!$N$2:$N$500,MATCH(A1864,Testes!$A$2:$A$500,0)),""))</f>
        <v/>
      </c>
      <c r="G1864" s="8">
        <f>IF(F1864="ocorrência","VP",IF(F1864="sem ocorrência","FP",""))</f>
        <v/>
      </c>
      <c r="H1864" s="7" t="n"/>
      <c r="I1864" s="8">
        <f>IF(H1864&lt;&gt;"",H1864,G1864)</f>
        <v/>
      </c>
    </row>
    <row r="1865">
      <c r="A1865" s="9" t="n"/>
      <c r="B1865" s="9" t="n"/>
      <c r="C1865" s="9" t="n"/>
      <c r="D1865" s="9" t="n"/>
      <c r="E1865" s="9" t="n"/>
      <c r="F1865" s="8">
        <f>IF(A1865="","",IFERROR(INDEX(Testes!$N$2:$N$500,MATCH(A1865,Testes!$A$2:$A$500,0)),""))</f>
        <v/>
      </c>
      <c r="G1865" s="8">
        <f>IF(F1865="ocorrência","VP",IF(F1865="sem ocorrência","FP",""))</f>
        <v/>
      </c>
      <c r="H1865" s="7" t="n"/>
      <c r="I1865" s="8">
        <f>IF(H1865&lt;&gt;"",H1865,G1865)</f>
        <v/>
      </c>
    </row>
    <row r="1866">
      <c r="A1866" s="9" t="n"/>
      <c r="B1866" s="9" t="n"/>
      <c r="C1866" s="9" t="n"/>
      <c r="D1866" s="9" t="n"/>
      <c r="E1866" s="9" t="n"/>
      <c r="F1866" s="8">
        <f>IF(A1866="","",IFERROR(INDEX(Testes!$N$2:$N$500,MATCH(A1866,Testes!$A$2:$A$500,0)),""))</f>
        <v/>
      </c>
      <c r="G1866" s="8">
        <f>IF(F1866="ocorrência","VP",IF(F1866="sem ocorrência","FP",""))</f>
        <v/>
      </c>
      <c r="H1866" s="7" t="n"/>
      <c r="I1866" s="8">
        <f>IF(H1866&lt;&gt;"",H1866,G1866)</f>
        <v/>
      </c>
    </row>
    <row r="1867">
      <c r="A1867" s="9" t="n"/>
      <c r="B1867" s="9" t="n"/>
      <c r="C1867" s="9" t="n"/>
      <c r="D1867" s="9" t="n"/>
      <c r="E1867" s="9" t="n"/>
      <c r="F1867" s="8">
        <f>IF(A1867="","",IFERROR(INDEX(Testes!$N$2:$N$500,MATCH(A1867,Testes!$A$2:$A$500,0)),""))</f>
        <v/>
      </c>
      <c r="G1867" s="8">
        <f>IF(F1867="ocorrência","VP",IF(F1867="sem ocorrência","FP",""))</f>
        <v/>
      </c>
      <c r="H1867" s="7" t="n"/>
      <c r="I1867" s="8">
        <f>IF(H1867&lt;&gt;"",H1867,G1867)</f>
        <v/>
      </c>
    </row>
    <row r="1868">
      <c r="A1868" s="9" t="n"/>
      <c r="B1868" s="9" t="n"/>
      <c r="C1868" s="9" t="n"/>
      <c r="D1868" s="9" t="n"/>
      <c r="E1868" s="9" t="n"/>
      <c r="F1868" s="8">
        <f>IF(A1868="","",IFERROR(INDEX(Testes!$N$2:$N$500,MATCH(A1868,Testes!$A$2:$A$500,0)),""))</f>
        <v/>
      </c>
      <c r="G1868" s="8">
        <f>IF(F1868="ocorrência","VP",IF(F1868="sem ocorrência","FP",""))</f>
        <v/>
      </c>
      <c r="H1868" s="7" t="n"/>
      <c r="I1868" s="8">
        <f>IF(H1868&lt;&gt;"",H1868,G1868)</f>
        <v/>
      </c>
    </row>
    <row r="1869">
      <c r="A1869" s="9" t="n"/>
      <c r="B1869" s="9" t="n"/>
      <c r="C1869" s="9" t="n"/>
      <c r="D1869" s="9" t="n"/>
      <c r="E1869" s="9" t="n"/>
      <c r="F1869" s="8">
        <f>IF(A1869="","",IFERROR(INDEX(Testes!$N$2:$N$500,MATCH(A1869,Testes!$A$2:$A$500,0)),""))</f>
        <v/>
      </c>
      <c r="G1869" s="8">
        <f>IF(F1869="ocorrência","VP",IF(F1869="sem ocorrência","FP",""))</f>
        <v/>
      </c>
      <c r="H1869" s="7" t="n"/>
      <c r="I1869" s="8">
        <f>IF(H1869&lt;&gt;"",H1869,G1869)</f>
        <v/>
      </c>
    </row>
    <row r="1870">
      <c r="A1870" s="9" t="n"/>
      <c r="B1870" s="9" t="n"/>
      <c r="C1870" s="9" t="n"/>
      <c r="D1870" s="9" t="n"/>
      <c r="E1870" s="9" t="n"/>
      <c r="F1870" s="8">
        <f>IF(A1870="","",IFERROR(INDEX(Testes!$N$2:$N$500,MATCH(A1870,Testes!$A$2:$A$500,0)),""))</f>
        <v/>
      </c>
      <c r="G1870" s="8">
        <f>IF(F1870="ocorrência","VP",IF(F1870="sem ocorrência","FP",""))</f>
        <v/>
      </c>
      <c r="H1870" s="7" t="n"/>
      <c r="I1870" s="8">
        <f>IF(H1870&lt;&gt;"",H1870,G1870)</f>
        <v/>
      </c>
    </row>
    <row r="1871">
      <c r="A1871" s="9" t="n"/>
      <c r="B1871" s="9" t="n"/>
      <c r="C1871" s="9" t="n"/>
      <c r="D1871" s="9" t="n"/>
      <c r="E1871" s="9" t="n"/>
      <c r="F1871" s="8">
        <f>IF(A1871="","",IFERROR(INDEX(Testes!$N$2:$N$500,MATCH(A1871,Testes!$A$2:$A$500,0)),""))</f>
        <v/>
      </c>
      <c r="G1871" s="8">
        <f>IF(F1871="ocorrência","VP",IF(F1871="sem ocorrência","FP",""))</f>
        <v/>
      </c>
      <c r="H1871" s="7" t="n"/>
      <c r="I1871" s="8">
        <f>IF(H1871&lt;&gt;"",H1871,G1871)</f>
        <v/>
      </c>
    </row>
    <row r="1872">
      <c r="A1872" s="9" t="n"/>
      <c r="B1872" s="9" t="n"/>
      <c r="C1872" s="9" t="n"/>
      <c r="D1872" s="9" t="n"/>
      <c r="E1872" s="9" t="n"/>
      <c r="F1872" s="8">
        <f>IF(A1872="","",IFERROR(INDEX(Testes!$N$2:$N$500,MATCH(A1872,Testes!$A$2:$A$500,0)),""))</f>
        <v/>
      </c>
      <c r="G1872" s="8">
        <f>IF(F1872="ocorrência","VP",IF(F1872="sem ocorrência","FP",""))</f>
        <v/>
      </c>
      <c r="H1872" s="7" t="n"/>
      <c r="I1872" s="8">
        <f>IF(H1872&lt;&gt;"",H1872,G1872)</f>
        <v/>
      </c>
    </row>
    <row r="1873">
      <c r="A1873" s="9" t="n"/>
      <c r="B1873" s="9" t="n"/>
      <c r="C1873" s="9" t="n"/>
      <c r="D1873" s="9" t="n"/>
      <c r="E1873" s="9" t="n"/>
      <c r="F1873" s="8">
        <f>IF(A1873="","",IFERROR(INDEX(Testes!$N$2:$N$500,MATCH(A1873,Testes!$A$2:$A$500,0)),""))</f>
        <v/>
      </c>
      <c r="G1873" s="8">
        <f>IF(F1873="ocorrência","VP",IF(F1873="sem ocorrência","FP",""))</f>
        <v/>
      </c>
      <c r="H1873" s="7" t="n"/>
      <c r="I1873" s="8">
        <f>IF(H1873&lt;&gt;"",H1873,G1873)</f>
        <v/>
      </c>
    </row>
    <row r="1874">
      <c r="A1874" s="9" t="n"/>
      <c r="B1874" s="9" t="n"/>
      <c r="C1874" s="9" t="n"/>
      <c r="D1874" s="9" t="n"/>
      <c r="E1874" s="9" t="n"/>
      <c r="F1874" s="8">
        <f>IF(A1874="","",IFERROR(INDEX(Testes!$N$2:$N$500,MATCH(A1874,Testes!$A$2:$A$500,0)),""))</f>
        <v/>
      </c>
      <c r="G1874" s="8">
        <f>IF(F1874="ocorrência","VP",IF(F1874="sem ocorrência","FP",""))</f>
        <v/>
      </c>
      <c r="H1874" s="7" t="n"/>
      <c r="I1874" s="8">
        <f>IF(H1874&lt;&gt;"",H1874,G1874)</f>
        <v/>
      </c>
    </row>
    <row r="1875">
      <c r="A1875" s="9" t="n"/>
      <c r="B1875" s="9" t="n"/>
      <c r="C1875" s="9" t="n"/>
      <c r="D1875" s="9" t="n"/>
      <c r="E1875" s="9" t="n"/>
      <c r="F1875" s="8">
        <f>IF(A1875="","",IFERROR(INDEX(Testes!$N$2:$N$500,MATCH(A1875,Testes!$A$2:$A$500,0)),""))</f>
        <v/>
      </c>
      <c r="G1875" s="8">
        <f>IF(F1875="ocorrência","VP",IF(F1875="sem ocorrência","FP",""))</f>
        <v/>
      </c>
      <c r="H1875" s="7" t="n"/>
      <c r="I1875" s="8">
        <f>IF(H1875&lt;&gt;"",H1875,G1875)</f>
        <v/>
      </c>
    </row>
    <row r="1876">
      <c r="A1876" s="9" t="n"/>
      <c r="B1876" s="9" t="n"/>
      <c r="C1876" s="9" t="n"/>
      <c r="D1876" s="9" t="n"/>
      <c r="E1876" s="9" t="n"/>
      <c r="F1876" s="8">
        <f>IF(A1876="","",IFERROR(INDEX(Testes!$N$2:$N$500,MATCH(A1876,Testes!$A$2:$A$500,0)),""))</f>
        <v/>
      </c>
      <c r="G1876" s="8">
        <f>IF(F1876="ocorrência","VP",IF(F1876="sem ocorrência","FP",""))</f>
        <v/>
      </c>
      <c r="H1876" s="7" t="n"/>
      <c r="I1876" s="8">
        <f>IF(H1876&lt;&gt;"",H1876,G1876)</f>
        <v/>
      </c>
    </row>
    <row r="1877">
      <c r="A1877" s="9" t="n"/>
      <c r="B1877" s="9" t="n"/>
      <c r="C1877" s="9" t="n"/>
      <c r="D1877" s="9" t="n"/>
      <c r="E1877" s="9" t="n"/>
      <c r="F1877" s="8">
        <f>IF(A1877="","",IFERROR(INDEX(Testes!$N$2:$N$500,MATCH(A1877,Testes!$A$2:$A$500,0)),""))</f>
        <v/>
      </c>
      <c r="G1877" s="8">
        <f>IF(F1877="ocorrência","VP",IF(F1877="sem ocorrência","FP",""))</f>
        <v/>
      </c>
      <c r="H1877" s="7" t="n"/>
      <c r="I1877" s="8">
        <f>IF(H1877&lt;&gt;"",H1877,G1877)</f>
        <v/>
      </c>
    </row>
    <row r="1878">
      <c r="A1878" s="9" t="n"/>
      <c r="B1878" s="9" t="n"/>
      <c r="C1878" s="9" t="n"/>
      <c r="D1878" s="9" t="n"/>
      <c r="E1878" s="9" t="n"/>
      <c r="F1878" s="8">
        <f>IF(A1878="","",IFERROR(INDEX(Testes!$N$2:$N$500,MATCH(A1878,Testes!$A$2:$A$500,0)),""))</f>
        <v/>
      </c>
      <c r="G1878" s="8">
        <f>IF(F1878="ocorrência","VP",IF(F1878="sem ocorrência","FP",""))</f>
        <v/>
      </c>
      <c r="H1878" s="7" t="n"/>
      <c r="I1878" s="8">
        <f>IF(H1878&lt;&gt;"",H1878,G1878)</f>
        <v/>
      </c>
    </row>
    <row r="1879">
      <c r="A1879" s="9" t="n"/>
      <c r="B1879" s="9" t="n"/>
      <c r="C1879" s="9" t="n"/>
      <c r="D1879" s="9" t="n"/>
      <c r="E1879" s="9" t="n"/>
      <c r="F1879" s="8">
        <f>IF(A1879="","",IFERROR(INDEX(Testes!$N$2:$N$500,MATCH(A1879,Testes!$A$2:$A$500,0)),""))</f>
        <v/>
      </c>
      <c r="G1879" s="8">
        <f>IF(F1879="ocorrência","VP",IF(F1879="sem ocorrência","FP",""))</f>
        <v/>
      </c>
      <c r="H1879" s="7" t="n"/>
      <c r="I1879" s="8">
        <f>IF(H1879&lt;&gt;"",H1879,G1879)</f>
        <v/>
      </c>
    </row>
    <row r="1880">
      <c r="A1880" s="9" t="n"/>
      <c r="B1880" s="9" t="n"/>
      <c r="C1880" s="9" t="n"/>
      <c r="D1880" s="9" t="n"/>
      <c r="E1880" s="9" t="n"/>
      <c r="F1880" s="8">
        <f>IF(A1880="","",IFERROR(INDEX(Testes!$N$2:$N$500,MATCH(A1880,Testes!$A$2:$A$500,0)),""))</f>
        <v/>
      </c>
      <c r="G1880" s="8">
        <f>IF(F1880="ocorrência","VP",IF(F1880="sem ocorrência","FP",""))</f>
        <v/>
      </c>
      <c r="H1880" s="7" t="n"/>
      <c r="I1880" s="8">
        <f>IF(H1880&lt;&gt;"",H1880,G1880)</f>
        <v/>
      </c>
    </row>
    <row r="1881">
      <c r="A1881" s="9" t="n"/>
      <c r="B1881" s="9" t="n"/>
      <c r="C1881" s="9" t="n"/>
      <c r="D1881" s="9" t="n"/>
      <c r="E1881" s="9" t="n"/>
      <c r="F1881" s="8">
        <f>IF(A1881="","",IFERROR(INDEX(Testes!$N$2:$N$500,MATCH(A1881,Testes!$A$2:$A$500,0)),""))</f>
        <v/>
      </c>
      <c r="G1881" s="8">
        <f>IF(F1881="ocorrência","VP",IF(F1881="sem ocorrência","FP",""))</f>
        <v/>
      </c>
      <c r="H1881" s="7" t="n"/>
      <c r="I1881" s="8">
        <f>IF(H1881&lt;&gt;"",H1881,G1881)</f>
        <v/>
      </c>
    </row>
    <row r="1882">
      <c r="A1882" s="9" t="n"/>
      <c r="B1882" s="9" t="n"/>
      <c r="C1882" s="9" t="n"/>
      <c r="D1882" s="9" t="n"/>
      <c r="E1882" s="9" t="n"/>
      <c r="F1882" s="8">
        <f>IF(A1882="","",IFERROR(INDEX(Testes!$N$2:$N$500,MATCH(A1882,Testes!$A$2:$A$500,0)),""))</f>
        <v/>
      </c>
      <c r="G1882" s="8">
        <f>IF(F1882="ocorrência","VP",IF(F1882="sem ocorrência","FP",""))</f>
        <v/>
      </c>
      <c r="H1882" s="7" t="n"/>
      <c r="I1882" s="8">
        <f>IF(H1882&lt;&gt;"",H1882,G1882)</f>
        <v/>
      </c>
    </row>
    <row r="1883">
      <c r="A1883" s="9" t="n"/>
      <c r="B1883" s="9" t="n"/>
      <c r="C1883" s="9" t="n"/>
      <c r="D1883" s="9" t="n"/>
      <c r="E1883" s="9" t="n"/>
      <c r="F1883" s="8">
        <f>IF(A1883="","",IFERROR(INDEX(Testes!$N$2:$N$500,MATCH(A1883,Testes!$A$2:$A$500,0)),""))</f>
        <v/>
      </c>
      <c r="G1883" s="8">
        <f>IF(F1883="ocorrência","VP",IF(F1883="sem ocorrência","FP",""))</f>
        <v/>
      </c>
      <c r="H1883" s="7" t="n"/>
      <c r="I1883" s="8">
        <f>IF(H1883&lt;&gt;"",H1883,G1883)</f>
        <v/>
      </c>
    </row>
    <row r="1884">
      <c r="A1884" s="9" t="n"/>
      <c r="B1884" s="9" t="n"/>
      <c r="C1884" s="9" t="n"/>
      <c r="D1884" s="9" t="n"/>
      <c r="E1884" s="9" t="n"/>
      <c r="F1884" s="8">
        <f>IF(A1884="","",IFERROR(INDEX(Testes!$N$2:$N$500,MATCH(A1884,Testes!$A$2:$A$500,0)),""))</f>
        <v/>
      </c>
      <c r="G1884" s="8">
        <f>IF(F1884="ocorrência","VP",IF(F1884="sem ocorrência","FP",""))</f>
        <v/>
      </c>
      <c r="H1884" s="7" t="n"/>
      <c r="I1884" s="8">
        <f>IF(H1884&lt;&gt;"",H1884,G1884)</f>
        <v/>
      </c>
    </row>
    <row r="1885">
      <c r="A1885" s="9" t="n"/>
      <c r="B1885" s="9" t="n"/>
      <c r="C1885" s="9" t="n"/>
      <c r="D1885" s="9" t="n"/>
      <c r="E1885" s="9" t="n"/>
      <c r="F1885" s="8">
        <f>IF(A1885="","",IFERROR(INDEX(Testes!$N$2:$N$500,MATCH(A1885,Testes!$A$2:$A$500,0)),""))</f>
        <v/>
      </c>
      <c r="G1885" s="8">
        <f>IF(F1885="ocorrência","VP",IF(F1885="sem ocorrência","FP",""))</f>
        <v/>
      </c>
      <c r="H1885" s="7" t="n"/>
      <c r="I1885" s="8">
        <f>IF(H1885&lt;&gt;"",H1885,G1885)</f>
        <v/>
      </c>
    </row>
    <row r="1886">
      <c r="A1886" s="9" t="n"/>
      <c r="B1886" s="9" t="n"/>
      <c r="C1886" s="9" t="n"/>
      <c r="D1886" s="9" t="n"/>
      <c r="E1886" s="9" t="n"/>
      <c r="F1886" s="8">
        <f>IF(A1886="","",IFERROR(INDEX(Testes!$N$2:$N$500,MATCH(A1886,Testes!$A$2:$A$500,0)),""))</f>
        <v/>
      </c>
      <c r="G1886" s="8">
        <f>IF(F1886="ocorrência","VP",IF(F1886="sem ocorrência","FP",""))</f>
        <v/>
      </c>
      <c r="H1886" s="7" t="n"/>
      <c r="I1886" s="8">
        <f>IF(H1886&lt;&gt;"",H1886,G1886)</f>
        <v/>
      </c>
    </row>
    <row r="1887">
      <c r="A1887" s="9" t="n"/>
      <c r="B1887" s="9" t="n"/>
      <c r="C1887" s="9" t="n"/>
      <c r="D1887" s="9" t="n"/>
      <c r="E1887" s="9" t="n"/>
      <c r="F1887" s="8">
        <f>IF(A1887="","",IFERROR(INDEX(Testes!$N$2:$N$500,MATCH(A1887,Testes!$A$2:$A$500,0)),""))</f>
        <v/>
      </c>
      <c r="G1887" s="8">
        <f>IF(F1887="ocorrência","VP",IF(F1887="sem ocorrência","FP",""))</f>
        <v/>
      </c>
      <c r="H1887" s="7" t="n"/>
      <c r="I1887" s="8">
        <f>IF(H1887&lt;&gt;"",H1887,G1887)</f>
        <v/>
      </c>
    </row>
    <row r="1888">
      <c r="A1888" s="9" t="n"/>
      <c r="B1888" s="9" t="n"/>
      <c r="C1888" s="9" t="n"/>
      <c r="D1888" s="9" t="n"/>
      <c r="E1888" s="9" t="n"/>
      <c r="F1888" s="8">
        <f>IF(A1888="","",IFERROR(INDEX(Testes!$N$2:$N$500,MATCH(A1888,Testes!$A$2:$A$500,0)),""))</f>
        <v/>
      </c>
      <c r="G1888" s="8">
        <f>IF(F1888="ocorrência","VP",IF(F1888="sem ocorrência","FP",""))</f>
        <v/>
      </c>
      <c r="H1888" s="7" t="n"/>
      <c r="I1888" s="8">
        <f>IF(H1888&lt;&gt;"",H1888,G1888)</f>
        <v/>
      </c>
    </row>
    <row r="1889">
      <c r="A1889" s="9" t="n"/>
      <c r="B1889" s="9" t="n"/>
      <c r="C1889" s="9" t="n"/>
      <c r="D1889" s="9" t="n"/>
      <c r="E1889" s="9" t="n"/>
      <c r="F1889" s="8">
        <f>IF(A1889="","",IFERROR(INDEX(Testes!$N$2:$N$500,MATCH(A1889,Testes!$A$2:$A$500,0)),""))</f>
        <v/>
      </c>
      <c r="G1889" s="8">
        <f>IF(F1889="ocorrência","VP",IF(F1889="sem ocorrência","FP",""))</f>
        <v/>
      </c>
      <c r="H1889" s="7" t="n"/>
      <c r="I1889" s="8">
        <f>IF(H1889&lt;&gt;"",H1889,G1889)</f>
        <v/>
      </c>
    </row>
    <row r="1890">
      <c r="A1890" s="9" t="n"/>
      <c r="B1890" s="9" t="n"/>
      <c r="C1890" s="9" t="n"/>
      <c r="D1890" s="9" t="n"/>
      <c r="E1890" s="9" t="n"/>
      <c r="F1890" s="8">
        <f>IF(A1890="","",IFERROR(INDEX(Testes!$N$2:$N$500,MATCH(A1890,Testes!$A$2:$A$500,0)),""))</f>
        <v/>
      </c>
      <c r="G1890" s="8">
        <f>IF(F1890="ocorrência","VP",IF(F1890="sem ocorrência","FP",""))</f>
        <v/>
      </c>
      <c r="H1890" s="7" t="n"/>
      <c r="I1890" s="8">
        <f>IF(H1890&lt;&gt;"",H1890,G1890)</f>
        <v/>
      </c>
    </row>
    <row r="1891">
      <c r="A1891" s="9" t="n"/>
      <c r="B1891" s="9" t="n"/>
      <c r="C1891" s="9" t="n"/>
      <c r="D1891" s="9" t="n"/>
      <c r="E1891" s="9" t="n"/>
      <c r="F1891" s="8">
        <f>IF(A1891="","",IFERROR(INDEX(Testes!$N$2:$N$500,MATCH(A1891,Testes!$A$2:$A$500,0)),""))</f>
        <v/>
      </c>
      <c r="G1891" s="8">
        <f>IF(F1891="ocorrência","VP",IF(F1891="sem ocorrência","FP",""))</f>
        <v/>
      </c>
      <c r="H1891" s="7" t="n"/>
      <c r="I1891" s="8">
        <f>IF(H1891&lt;&gt;"",H1891,G1891)</f>
        <v/>
      </c>
    </row>
    <row r="1892">
      <c r="A1892" s="9" t="n"/>
      <c r="B1892" s="9" t="n"/>
      <c r="C1892" s="9" t="n"/>
      <c r="D1892" s="9" t="n"/>
      <c r="E1892" s="9" t="n"/>
      <c r="F1892" s="8">
        <f>IF(A1892="","",IFERROR(INDEX(Testes!$N$2:$N$500,MATCH(A1892,Testes!$A$2:$A$500,0)),""))</f>
        <v/>
      </c>
      <c r="G1892" s="8">
        <f>IF(F1892="ocorrência","VP",IF(F1892="sem ocorrência","FP",""))</f>
        <v/>
      </c>
      <c r="H1892" s="7" t="n"/>
      <c r="I1892" s="8">
        <f>IF(H1892&lt;&gt;"",H1892,G1892)</f>
        <v/>
      </c>
    </row>
    <row r="1893">
      <c r="A1893" s="9" t="n"/>
      <c r="B1893" s="9" t="n"/>
      <c r="C1893" s="9" t="n"/>
      <c r="D1893" s="9" t="n"/>
      <c r="E1893" s="9" t="n"/>
      <c r="F1893" s="8">
        <f>IF(A1893="","",IFERROR(INDEX(Testes!$N$2:$N$500,MATCH(A1893,Testes!$A$2:$A$500,0)),""))</f>
        <v/>
      </c>
      <c r="G1893" s="8">
        <f>IF(F1893="ocorrência","VP",IF(F1893="sem ocorrência","FP",""))</f>
        <v/>
      </c>
      <c r="H1893" s="7" t="n"/>
      <c r="I1893" s="8">
        <f>IF(H1893&lt;&gt;"",H1893,G1893)</f>
        <v/>
      </c>
    </row>
    <row r="1894">
      <c r="A1894" s="9" t="n"/>
      <c r="B1894" s="9" t="n"/>
      <c r="C1894" s="9" t="n"/>
      <c r="D1894" s="9" t="n"/>
      <c r="E1894" s="9" t="n"/>
      <c r="F1894" s="8">
        <f>IF(A1894="","",IFERROR(INDEX(Testes!$N$2:$N$500,MATCH(A1894,Testes!$A$2:$A$500,0)),""))</f>
        <v/>
      </c>
      <c r="G1894" s="8">
        <f>IF(F1894="ocorrência","VP",IF(F1894="sem ocorrência","FP",""))</f>
        <v/>
      </c>
      <c r="H1894" s="7" t="n"/>
      <c r="I1894" s="8">
        <f>IF(H1894&lt;&gt;"",H1894,G1894)</f>
        <v/>
      </c>
    </row>
    <row r="1895">
      <c r="A1895" s="9" t="n"/>
      <c r="B1895" s="9" t="n"/>
      <c r="C1895" s="9" t="n"/>
      <c r="D1895" s="9" t="n"/>
      <c r="E1895" s="9" t="n"/>
      <c r="F1895" s="8">
        <f>IF(A1895="","",IFERROR(INDEX(Testes!$N$2:$N$500,MATCH(A1895,Testes!$A$2:$A$500,0)),""))</f>
        <v/>
      </c>
      <c r="G1895" s="8">
        <f>IF(F1895="ocorrência","VP",IF(F1895="sem ocorrência","FP",""))</f>
        <v/>
      </c>
      <c r="H1895" s="7" t="n"/>
      <c r="I1895" s="8">
        <f>IF(H1895&lt;&gt;"",H1895,G1895)</f>
        <v/>
      </c>
    </row>
    <row r="1896">
      <c r="A1896" s="9" t="n"/>
      <c r="B1896" s="9" t="n"/>
      <c r="C1896" s="9" t="n"/>
      <c r="D1896" s="9" t="n"/>
      <c r="E1896" s="9" t="n"/>
      <c r="F1896" s="8">
        <f>IF(A1896="","",IFERROR(INDEX(Testes!$N$2:$N$500,MATCH(A1896,Testes!$A$2:$A$500,0)),""))</f>
        <v/>
      </c>
      <c r="G1896" s="8">
        <f>IF(F1896="ocorrência","VP",IF(F1896="sem ocorrência","FP",""))</f>
        <v/>
      </c>
      <c r="H1896" s="7" t="n"/>
      <c r="I1896" s="8">
        <f>IF(H1896&lt;&gt;"",H1896,G1896)</f>
        <v/>
      </c>
    </row>
    <row r="1897">
      <c r="A1897" s="9" t="n"/>
      <c r="B1897" s="9" t="n"/>
      <c r="C1897" s="9" t="n"/>
      <c r="D1897" s="9" t="n"/>
      <c r="E1897" s="9" t="n"/>
      <c r="F1897" s="8">
        <f>IF(A1897="","",IFERROR(INDEX(Testes!$N$2:$N$500,MATCH(A1897,Testes!$A$2:$A$500,0)),""))</f>
        <v/>
      </c>
      <c r="G1897" s="8">
        <f>IF(F1897="ocorrência","VP",IF(F1897="sem ocorrência","FP",""))</f>
        <v/>
      </c>
      <c r="H1897" s="7" t="n"/>
      <c r="I1897" s="8">
        <f>IF(H1897&lt;&gt;"",H1897,G1897)</f>
        <v/>
      </c>
    </row>
    <row r="1898">
      <c r="A1898" s="9" t="n"/>
      <c r="B1898" s="9" t="n"/>
      <c r="C1898" s="9" t="n"/>
      <c r="D1898" s="9" t="n"/>
      <c r="E1898" s="9" t="n"/>
      <c r="F1898" s="8">
        <f>IF(A1898="","",IFERROR(INDEX(Testes!$N$2:$N$500,MATCH(A1898,Testes!$A$2:$A$500,0)),""))</f>
        <v/>
      </c>
      <c r="G1898" s="8">
        <f>IF(F1898="ocorrência","VP",IF(F1898="sem ocorrência","FP",""))</f>
        <v/>
      </c>
      <c r="H1898" s="7" t="n"/>
      <c r="I1898" s="8">
        <f>IF(H1898&lt;&gt;"",H1898,G1898)</f>
        <v/>
      </c>
    </row>
    <row r="1899">
      <c r="A1899" s="9" t="n"/>
      <c r="B1899" s="9" t="n"/>
      <c r="C1899" s="9" t="n"/>
      <c r="D1899" s="9" t="n"/>
      <c r="E1899" s="9" t="n"/>
      <c r="F1899" s="8">
        <f>IF(A1899="","",IFERROR(INDEX(Testes!$N$2:$N$500,MATCH(A1899,Testes!$A$2:$A$500,0)),""))</f>
        <v/>
      </c>
      <c r="G1899" s="8">
        <f>IF(F1899="ocorrência","VP",IF(F1899="sem ocorrência","FP",""))</f>
        <v/>
      </c>
      <c r="H1899" s="7" t="n"/>
      <c r="I1899" s="8">
        <f>IF(H1899&lt;&gt;"",H1899,G1899)</f>
        <v/>
      </c>
    </row>
    <row r="1900">
      <c r="A1900" s="9" t="n"/>
      <c r="B1900" s="9" t="n"/>
      <c r="C1900" s="9" t="n"/>
      <c r="D1900" s="9" t="n"/>
      <c r="E1900" s="9" t="n"/>
      <c r="F1900" s="8">
        <f>IF(A1900="","",IFERROR(INDEX(Testes!$N$2:$N$500,MATCH(A1900,Testes!$A$2:$A$500,0)),""))</f>
        <v/>
      </c>
      <c r="G1900" s="8">
        <f>IF(F1900="ocorrência","VP",IF(F1900="sem ocorrência","FP",""))</f>
        <v/>
      </c>
      <c r="H1900" s="7" t="n"/>
      <c r="I1900" s="8">
        <f>IF(H1900&lt;&gt;"",H1900,G1900)</f>
        <v/>
      </c>
    </row>
    <row r="1901">
      <c r="A1901" s="9" t="n"/>
      <c r="B1901" s="9" t="n"/>
      <c r="C1901" s="9" t="n"/>
      <c r="D1901" s="9" t="n"/>
      <c r="E1901" s="9" t="n"/>
      <c r="F1901" s="8">
        <f>IF(A1901="","",IFERROR(INDEX(Testes!$N$2:$N$500,MATCH(A1901,Testes!$A$2:$A$500,0)),""))</f>
        <v/>
      </c>
      <c r="G1901" s="8">
        <f>IF(F1901="ocorrência","VP",IF(F1901="sem ocorrência","FP",""))</f>
        <v/>
      </c>
      <c r="H1901" s="7" t="n"/>
      <c r="I1901" s="8">
        <f>IF(H1901&lt;&gt;"",H1901,G1901)</f>
        <v/>
      </c>
    </row>
    <row r="1902">
      <c r="A1902" s="9" t="n"/>
      <c r="B1902" s="9" t="n"/>
      <c r="C1902" s="9" t="n"/>
      <c r="D1902" s="9" t="n"/>
      <c r="E1902" s="9" t="n"/>
      <c r="F1902" s="8">
        <f>IF(A1902="","",IFERROR(INDEX(Testes!$N$2:$N$500,MATCH(A1902,Testes!$A$2:$A$500,0)),""))</f>
        <v/>
      </c>
      <c r="G1902" s="8">
        <f>IF(F1902="ocorrência","VP",IF(F1902="sem ocorrência","FP",""))</f>
        <v/>
      </c>
      <c r="H1902" s="7" t="n"/>
      <c r="I1902" s="8">
        <f>IF(H1902&lt;&gt;"",H1902,G1902)</f>
        <v/>
      </c>
    </row>
    <row r="1903">
      <c r="A1903" s="9" t="n"/>
      <c r="B1903" s="9" t="n"/>
      <c r="C1903" s="9" t="n"/>
      <c r="D1903" s="9" t="n"/>
      <c r="E1903" s="9" t="n"/>
      <c r="F1903" s="8">
        <f>IF(A1903="","",IFERROR(INDEX(Testes!$N$2:$N$500,MATCH(A1903,Testes!$A$2:$A$500,0)),""))</f>
        <v/>
      </c>
      <c r="G1903" s="8">
        <f>IF(F1903="ocorrência","VP",IF(F1903="sem ocorrência","FP",""))</f>
        <v/>
      </c>
      <c r="H1903" s="7" t="n"/>
      <c r="I1903" s="8">
        <f>IF(H1903&lt;&gt;"",H1903,G1903)</f>
        <v/>
      </c>
    </row>
    <row r="1904">
      <c r="A1904" s="9" t="n"/>
      <c r="B1904" s="9" t="n"/>
      <c r="C1904" s="9" t="n"/>
      <c r="D1904" s="9" t="n"/>
      <c r="E1904" s="9" t="n"/>
      <c r="F1904" s="8">
        <f>IF(A1904="","",IFERROR(INDEX(Testes!$N$2:$N$500,MATCH(A1904,Testes!$A$2:$A$500,0)),""))</f>
        <v/>
      </c>
      <c r="G1904" s="8">
        <f>IF(F1904="ocorrência","VP",IF(F1904="sem ocorrência","FP",""))</f>
        <v/>
      </c>
      <c r="H1904" s="7" t="n"/>
      <c r="I1904" s="8">
        <f>IF(H1904&lt;&gt;"",H1904,G1904)</f>
        <v/>
      </c>
    </row>
    <row r="1905">
      <c r="A1905" s="9" t="n"/>
      <c r="B1905" s="9" t="n"/>
      <c r="C1905" s="9" t="n"/>
      <c r="D1905" s="9" t="n"/>
      <c r="E1905" s="9" t="n"/>
      <c r="F1905" s="8">
        <f>IF(A1905="","",IFERROR(INDEX(Testes!$N$2:$N$500,MATCH(A1905,Testes!$A$2:$A$500,0)),""))</f>
        <v/>
      </c>
      <c r="G1905" s="8">
        <f>IF(F1905="ocorrência","VP",IF(F1905="sem ocorrência","FP",""))</f>
        <v/>
      </c>
      <c r="H1905" s="7" t="n"/>
      <c r="I1905" s="8">
        <f>IF(H1905&lt;&gt;"",H1905,G1905)</f>
        <v/>
      </c>
    </row>
    <row r="1906">
      <c r="A1906" s="9" t="n"/>
      <c r="B1906" s="9" t="n"/>
      <c r="C1906" s="9" t="n"/>
      <c r="D1906" s="9" t="n"/>
      <c r="E1906" s="9" t="n"/>
      <c r="F1906" s="8">
        <f>IF(A1906="","",IFERROR(INDEX(Testes!$N$2:$N$500,MATCH(A1906,Testes!$A$2:$A$500,0)),""))</f>
        <v/>
      </c>
      <c r="G1906" s="8">
        <f>IF(F1906="ocorrência","VP",IF(F1906="sem ocorrência","FP",""))</f>
        <v/>
      </c>
      <c r="H1906" s="7" t="n"/>
      <c r="I1906" s="8">
        <f>IF(H1906&lt;&gt;"",H1906,G1906)</f>
        <v/>
      </c>
    </row>
    <row r="1907">
      <c r="A1907" s="9" t="n"/>
      <c r="B1907" s="9" t="n"/>
      <c r="C1907" s="9" t="n"/>
      <c r="D1907" s="9" t="n"/>
      <c r="E1907" s="9" t="n"/>
      <c r="F1907" s="8">
        <f>IF(A1907="","",IFERROR(INDEX(Testes!$N$2:$N$500,MATCH(A1907,Testes!$A$2:$A$500,0)),""))</f>
        <v/>
      </c>
      <c r="G1907" s="8">
        <f>IF(F1907="ocorrência","VP",IF(F1907="sem ocorrência","FP",""))</f>
        <v/>
      </c>
      <c r="H1907" s="7" t="n"/>
      <c r="I1907" s="8">
        <f>IF(H1907&lt;&gt;"",H1907,G1907)</f>
        <v/>
      </c>
    </row>
    <row r="1908">
      <c r="A1908" s="9" t="n"/>
      <c r="B1908" s="9" t="n"/>
      <c r="C1908" s="9" t="n"/>
      <c r="D1908" s="9" t="n"/>
      <c r="E1908" s="9" t="n"/>
      <c r="F1908" s="8">
        <f>IF(A1908="","",IFERROR(INDEX(Testes!$N$2:$N$500,MATCH(A1908,Testes!$A$2:$A$500,0)),""))</f>
        <v/>
      </c>
      <c r="G1908" s="8">
        <f>IF(F1908="ocorrência","VP",IF(F1908="sem ocorrência","FP",""))</f>
        <v/>
      </c>
      <c r="H1908" s="7" t="n"/>
      <c r="I1908" s="8">
        <f>IF(H1908&lt;&gt;"",H1908,G1908)</f>
        <v/>
      </c>
    </row>
    <row r="1909">
      <c r="A1909" s="9" t="n"/>
      <c r="B1909" s="9" t="n"/>
      <c r="C1909" s="9" t="n"/>
      <c r="D1909" s="9" t="n"/>
      <c r="E1909" s="9" t="n"/>
      <c r="F1909" s="8">
        <f>IF(A1909="","",IFERROR(INDEX(Testes!$N$2:$N$500,MATCH(A1909,Testes!$A$2:$A$500,0)),""))</f>
        <v/>
      </c>
      <c r="G1909" s="8">
        <f>IF(F1909="ocorrência","VP",IF(F1909="sem ocorrência","FP",""))</f>
        <v/>
      </c>
      <c r="H1909" s="7" t="n"/>
      <c r="I1909" s="8">
        <f>IF(H1909&lt;&gt;"",H1909,G1909)</f>
        <v/>
      </c>
    </row>
    <row r="1910">
      <c r="A1910" s="9" t="n"/>
      <c r="B1910" s="9" t="n"/>
      <c r="C1910" s="9" t="n"/>
      <c r="D1910" s="9" t="n"/>
      <c r="E1910" s="9" t="n"/>
      <c r="F1910" s="8">
        <f>IF(A1910="","",IFERROR(INDEX(Testes!$N$2:$N$500,MATCH(A1910,Testes!$A$2:$A$500,0)),""))</f>
        <v/>
      </c>
      <c r="G1910" s="8">
        <f>IF(F1910="ocorrência","VP",IF(F1910="sem ocorrência","FP",""))</f>
        <v/>
      </c>
      <c r="H1910" s="7" t="n"/>
      <c r="I1910" s="8">
        <f>IF(H1910&lt;&gt;"",H1910,G1910)</f>
        <v/>
      </c>
    </row>
    <row r="1911">
      <c r="A1911" s="9" t="n"/>
      <c r="B1911" s="9" t="n"/>
      <c r="C1911" s="9" t="n"/>
      <c r="D1911" s="9" t="n"/>
      <c r="E1911" s="9" t="n"/>
      <c r="F1911" s="8">
        <f>IF(A1911="","",IFERROR(INDEX(Testes!$N$2:$N$500,MATCH(A1911,Testes!$A$2:$A$500,0)),""))</f>
        <v/>
      </c>
      <c r="G1911" s="8">
        <f>IF(F1911="ocorrência","VP",IF(F1911="sem ocorrência","FP",""))</f>
        <v/>
      </c>
      <c r="H1911" s="7" t="n"/>
      <c r="I1911" s="8">
        <f>IF(H1911&lt;&gt;"",H1911,G1911)</f>
        <v/>
      </c>
    </row>
    <row r="1912">
      <c r="A1912" s="9" t="n"/>
      <c r="B1912" s="9" t="n"/>
      <c r="C1912" s="9" t="n"/>
      <c r="D1912" s="9" t="n"/>
      <c r="E1912" s="9" t="n"/>
      <c r="F1912" s="8">
        <f>IF(A1912="","",IFERROR(INDEX(Testes!$N$2:$N$500,MATCH(A1912,Testes!$A$2:$A$500,0)),""))</f>
        <v/>
      </c>
      <c r="G1912" s="8">
        <f>IF(F1912="ocorrência","VP",IF(F1912="sem ocorrência","FP",""))</f>
        <v/>
      </c>
      <c r="H1912" s="7" t="n"/>
      <c r="I1912" s="8">
        <f>IF(H1912&lt;&gt;"",H1912,G1912)</f>
        <v/>
      </c>
    </row>
    <row r="1913">
      <c r="A1913" s="9" t="n"/>
      <c r="B1913" s="9" t="n"/>
      <c r="C1913" s="9" t="n"/>
      <c r="D1913" s="9" t="n"/>
      <c r="E1913" s="9" t="n"/>
      <c r="F1913" s="8">
        <f>IF(A1913="","",IFERROR(INDEX(Testes!$N$2:$N$500,MATCH(A1913,Testes!$A$2:$A$500,0)),""))</f>
        <v/>
      </c>
      <c r="G1913" s="8">
        <f>IF(F1913="ocorrência","VP",IF(F1913="sem ocorrência","FP",""))</f>
        <v/>
      </c>
      <c r="H1913" s="7" t="n"/>
      <c r="I1913" s="8">
        <f>IF(H1913&lt;&gt;"",H1913,G1913)</f>
        <v/>
      </c>
    </row>
    <row r="1914">
      <c r="A1914" s="9" t="n"/>
      <c r="B1914" s="9" t="n"/>
      <c r="C1914" s="9" t="n"/>
      <c r="D1914" s="9" t="n"/>
      <c r="E1914" s="9" t="n"/>
      <c r="F1914" s="8">
        <f>IF(A1914="","",IFERROR(INDEX(Testes!$N$2:$N$500,MATCH(A1914,Testes!$A$2:$A$500,0)),""))</f>
        <v/>
      </c>
      <c r="G1914" s="8">
        <f>IF(F1914="ocorrência","VP",IF(F1914="sem ocorrência","FP",""))</f>
        <v/>
      </c>
      <c r="H1914" s="7" t="n"/>
      <c r="I1914" s="8">
        <f>IF(H1914&lt;&gt;"",H1914,G1914)</f>
        <v/>
      </c>
    </row>
    <row r="1915">
      <c r="A1915" s="9" t="n"/>
      <c r="B1915" s="9" t="n"/>
      <c r="C1915" s="9" t="n"/>
      <c r="D1915" s="9" t="n"/>
      <c r="E1915" s="9" t="n"/>
      <c r="F1915" s="8">
        <f>IF(A1915="","",IFERROR(INDEX(Testes!$N$2:$N$500,MATCH(A1915,Testes!$A$2:$A$500,0)),""))</f>
        <v/>
      </c>
      <c r="G1915" s="8">
        <f>IF(F1915="ocorrência","VP",IF(F1915="sem ocorrência","FP",""))</f>
        <v/>
      </c>
      <c r="H1915" s="7" t="n"/>
      <c r="I1915" s="8">
        <f>IF(H1915&lt;&gt;"",H1915,G1915)</f>
        <v/>
      </c>
    </row>
    <row r="1916">
      <c r="A1916" s="9" t="n"/>
      <c r="B1916" s="9" t="n"/>
      <c r="C1916" s="9" t="n"/>
      <c r="D1916" s="9" t="n"/>
      <c r="E1916" s="9" t="n"/>
      <c r="F1916" s="8">
        <f>IF(A1916="","",IFERROR(INDEX(Testes!$N$2:$N$500,MATCH(A1916,Testes!$A$2:$A$500,0)),""))</f>
        <v/>
      </c>
      <c r="G1916" s="8">
        <f>IF(F1916="ocorrência","VP",IF(F1916="sem ocorrência","FP",""))</f>
        <v/>
      </c>
      <c r="H1916" s="7" t="n"/>
      <c r="I1916" s="8">
        <f>IF(H1916&lt;&gt;"",H1916,G1916)</f>
        <v/>
      </c>
    </row>
    <row r="1917">
      <c r="A1917" s="9" t="n"/>
      <c r="B1917" s="9" t="n"/>
      <c r="C1917" s="9" t="n"/>
      <c r="D1917" s="9" t="n"/>
      <c r="E1917" s="9" t="n"/>
      <c r="F1917" s="8">
        <f>IF(A1917="","",IFERROR(INDEX(Testes!$N$2:$N$500,MATCH(A1917,Testes!$A$2:$A$500,0)),""))</f>
        <v/>
      </c>
      <c r="G1917" s="8">
        <f>IF(F1917="ocorrência","VP",IF(F1917="sem ocorrência","FP",""))</f>
        <v/>
      </c>
      <c r="H1917" s="7" t="n"/>
      <c r="I1917" s="8">
        <f>IF(H1917&lt;&gt;"",H1917,G1917)</f>
        <v/>
      </c>
    </row>
    <row r="1918">
      <c r="A1918" s="9" t="n"/>
      <c r="B1918" s="9" t="n"/>
      <c r="C1918" s="9" t="n"/>
      <c r="D1918" s="9" t="n"/>
      <c r="E1918" s="9" t="n"/>
      <c r="F1918" s="8">
        <f>IF(A1918="","",IFERROR(INDEX(Testes!$N$2:$N$500,MATCH(A1918,Testes!$A$2:$A$500,0)),""))</f>
        <v/>
      </c>
      <c r="G1918" s="8">
        <f>IF(F1918="ocorrência","VP",IF(F1918="sem ocorrência","FP",""))</f>
        <v/>
      </c>
      <c r="H1918" s="7" t="n"/>
      <c r="I1918" s="8">
        <f>IF(H1918&lt;&gt;"",H1918,G1918)</f>
        <v/>
      </c>
    </row>
    <row r="1919">
      <c r="A1919" s="9" t="n"/>
      <c r="B1919" s="9" t="n"/>
      <c r="C1919" s="9" t="n"/>
      <c r="D1919" s="9" t="n"/>
      <c r="E1919" s="9" t="n"/>
      <c r="F1919" s="8">
        <f>IF(A1919="","",IFERROR(INDEX(Testes!$N$2:$N$500,MATCH(A1919,Testes!$A$2:$A$500,0)),""))</f>
        <v/>
      </c>
      <c r="G1919" s="8">
        <f>IF(F1919="ocorrência","VP",IF(F1919="sem ocorrência","FP",""))</f>
        <v/>
      </c>
      <c r="H1919" s="7" t="n"/>
      <c r="I1919" s="8">
        <f>IF(H1919&lt;&gt;"",H1919,G1919)</f>
        <v/>
      </c>
    </row>
    <row r="1920">
      <c r="A1920" s="9" t="n"/>
      <c r="B1920" s="9" t="n"/>
      <c r="C1920" s="9" t="n"/>
      <c r="D1920" s="9" t="n"/>
      <c r="E1920" s="9" t="n"/>
      <c r="F1920" s="8">
        <f>IF(A1920="","",IFERROR(INDEX(Testes!$N$2:$N$500,MATCH(A1920,Testes!$A$2:$A$500,0)),""))</f>
        <v/>
      </c>
      <c r="G1920" s="8">
        <f>IF(F1920="ocorrência","VP",IF(F1920="sem ocorrência","FP",""))</f>
        <v/>
      </c>
      <c r="H1920" s="7" t="n"/>
      <c r="I1920" s="8">
        <f>IF(H1920&lt;&gt;"",H1920,G1920)</f>
        <v/>
      </c>
    </row>
    <row r="1921">
      <c r="A1921" s="9" t="n"/>
      <c r="B1921" s="9" t="n"/>
      <c r="C1921" s="9" t="n"/>
      <c r="D1921" s="9" t="n"/>
      <c r="E1921" s="9" t="n"/>
      <c r="F1921" s="8">
        <f>IF(A1921="","",IFERROR(INDEX(Testes!$N$2:$N$500,MATCH(A1921,Testes!$A$2:$A$500,0)),""))</f>
        <v/>
      </c>
      <c r="G1921" s="8">
        <f>IF(F1921="ocorrência","VP",IF(F1921="sem ocorrência","FP",""))</f>
        <v/>
      </c>
      <c r="H1921" s="7" t="n"/>
      <c r="I1921" s="8">
        <f>IF(H1921&lt;&gt;"",H1921,G1921)</f>
        <v/>
      </c>
    </row>
    <row r="1922">
      <c r="A1922" s="9" t="n"/>
      <c r="B1922" s="9" t="n"/>
      <c r="C1922" s="9" t="n"/>
      <c r="D1922" s="9" t="n"/>
      <c r="E1922" s="9" t="n"/>
      <c r="F1922" s="8">
        <f>IF(A1922="","",IFERROR(INDEX(Testes!$N$2:$N$500,MATCH(A1922,Testes!$A$2:$A$500,0)),""))</f>
        <v/>
      </c>
      <c r="G1922" s="8">
        <f>IF(F1922="ocorrência","VP",IF(F1922="sem ocorrência","FP",""))</f>
        <v/>
      </c>
      <c r="H1922" s="7" t="n"/>
      <c r="I1922" s="8">
        <f>IF(H1922&lt;&gt;"",H1922,G1922)</f>
        <v/>
      </c>
    </row>
    <row r="1923">
      <c r="A1923" s="9" t="n"/>
      <c r="B1923" s="9" t="n"/>
      <c r="C1923" s="9" t="n"/>
      <c r="D1923" s="9" t="n"/>
      <c r="E1923" s="9" t="n"/>
      <c r="F1923" s="8">
        <f>IF(A1923="","",IFERROR(INDEX(Testes!$N$2:$N$500,MATCH(A1923,Testes!$A$2:$A$500,0)),""))</f>
        <v/>
      </c>
      <c r="G1923" s="8">
        <f>IF(F1923="ocorrência","VP",IF(F1923="sem ocorrência","FP",""))</f>
        <v/>
      </c>
      <c r="H1923" s="7" t="n"/>
      <c r="I1923" s="8">
        <f>IF(H1923&lt;&gt;"",H1923,G1923)</f>
        <v/>
      </c>
    </row>
    <row r="1924">
      <c r="A1924" s="9" t="n"/>
      <c r="B1924" s="9" t="n"/>
      <c r="C1924" s="9" t="n"/>
      <c r="D1924" s="9" t="n"/>
      <c r="E1924" s="9" t="n"/>
      <c r="F1924" s="8">
        <f>IF(A1924="","",IFERROR(INDEX(Testes!$N$2:$N$500,MATCH(A1924,Testes!$A$2:$A$500,0)),""))</f>
        <v/>
      </c>
      <c r="G1924" s="8">
        <f>IF(F1924="ocorrência","VP",IF(F1924="sem ocorrência","FP",""))</f>
        <v/>
      </c>
      <c r="H1924" s="7" t="n"/>
      <c r="I1924" s="8">
        <f>IF(H1924&lt;&gt;"",H1924,G1924)</f>
        <v/>
      </c>
    </row>
    <row r="1925">
      <c r="A1925" s="9" t="n"/>
      <c r="B1925" s="9" t="n"/>
      <c r="C1925" s="9" t="n"/>
      <c r="D1925" s="9" t="n"/>
      <c r="E1925" s="9" t="n"/>
      <c r="F1925" s="8">
        <f>IF(A1925="","",IFERROR(INDEX(Testes!$N$2:$N$500,MATCH(A1925,Testes!$A$2:$A$500,0)),""))</f>
        <v/>
      </c>
      <c r="G1925" s="8">
        <f>IF(F1925="ocorrência","VP",IF(F1925="sem ocorrência","FP",""))</f>
        <v/>
      </c>
      <c r="H1925" s="7" t="n"/>
      <c r="I1925" s="8">
        <f>IF(H1925&lt;&gt;"",H1925,G1925)</f>
        <v/>
      </c>
    </row>
    <row r="1926">
      <c r="A1926" s="9" t="n"/>
      <c r="B1926" s="9" t="n"/>
      <c r="C1926" s="9" t="n"/>
      <c r="D1926" s="9" t="n"/>
      <c r="E1926" s="9" t="n"/>
      <c r="F1926" s="8">
        <f>IF(A1926="","",IFERROR(INDEX(Testes!$N$2:$N$500,MATCH(A1926,Testes!$A$2:$A$500,0)),""))</f>
        <v/>
      </c>
      <c r="G1926" s="8">
        <f>IF(F1926="ocorrência","VP",IF(F1926="sem ocorrência","FP",""))</f>
        <v/>
      </c>
      <c r="H1926" s="7" t="n"/>
      <c r="I1926" s="8">
        <f>IF(H1926&lt;&gt;"",H1926,G1926)</f>
        <v/>
      </c>
    </row>
    <row r="1927">
      <c r="A1927" s="9" t="n"/>
      <c r="B1927" s="9" t="n"/>
      <c r="C1927" s="9" t="n"/>
      <c r="D1927" s="9" t="n"/>
      <c r="E1927" s="9" t="n"/>
      <c r="F1927" s="8">
        <f>IF(A1927="","",IFERROR(INDEX(Testes!$N$2:$N$500,MATCH(A1927,Testes!$A$2:$A$500,0)),""))</f>
        <v/>
      </c>
      <c r="G1927" s="8">
        <f>IF(F1927="ocorrência","VP",IF(F1927="sem ocorrência","FP",""))</f>
        <v/>
      </c>
      <c r="H1927" s="7" t="n"/>
      <c r="I1927" s="8">
        <f>IF(H1927&lt;&gt;"",H1927,G1927)</f>
        <v/>
      </c>
    </row>
    <row r="1928">
      <c r="A1928" s="9" t="n"/>
      <c r="B1928" s="9" t="n"/>
      <c r="C1928" s="9" t="n"/>
      <c r="D1928" s="9" t="n"/>
      <c r="E1928" s="9" t="n"/>
      <c r="F1928" s="8">
        <f>IF(A1928="","",IFERROR(INDEX(Testes!$N$2:$N$500,MATCH(A1928,Testes!$A$2:$A$500,0)),""))</f>
        <v/>
      </c>
      <c r="G1928" s="8">
        <f>IF(F1928="ocorrência","VP",IF(F1928="sem ocorrência","FP",""))</f>
        <v/>
      </c>
      <c r="H1928" s="7" t="n"/>
      <c r="I1928" s="8">
        <f>IF(H1928&lt;&gt;"",H1928,G1928)</f>
        <v/>
      </c>
    </row>
    <row r="1929">
      <c r="A1929" s="9" t="n"/>
      <c r="B1929" s="9" t="n"/>
      <c r="C1929" s="9" t="n"/>
      <c r="D1929" s="9" t="n"/>
      <c r="E1929" s="9" t="n"/>
      <c r="F1929" s="8">
        <f>IF(A1929="","",IFERROR(INDEX(Testes!$N$2:$N$500,MATCH(A1929,Testes!$A$2:$A$500,0)),""))</f>
        <v/>
      </c>
      <c r="G1929" s="8">
        <f>IF(F1929="ocorrência","VP",IF(F1929="sem ocorrência","FP",""))</f>
        <v/>
      </c>
      <c r="H1929" s="7" t="n"/>
      <c r="I1929" s="8">
        <f>IF(H1929&lt;&gt;"",H1929,G1929)</f>
        <v/>
      </c>
    </row>
    <row r="1930">
      <c r="A1930" s="9" t="n"/>
      <c r="B1930" s="9" t="n"/>
      <c r="C1930" s="9" t="n"/>
      <c r="D1930" s="9" t="n"/>
      <c r="E1930" s="9" t="n"/>
      <c r="F1930" s="8">
        <f>IF(A1930="","",IFERROR(INDEX(Testes!$N$2:$N$500,MATCH(A1930,Testes!$A$2:$A$500,0)),""))</f>
        <v/>
      </c>
      <c r="G1930" s="8">
        <f>IF(F1930="ocorrência","VP",IF(F1930="sem ocorrência","FP",""))</f>
        <v/>
      </c>
      <c r="H1930" s="7" t="n"/>
      <c r="I1930" s="8">
        <f>IF(H1930&lt;&gt;"",H1930,G1930)</f>
        <v/>
      </c>
    </row>
    <row r="1931">
      <c r="A1931" s="9" t="n"/>
      <c r="B1931" s="9" t="n"/>
      <c r="C1931" s="9" t="n"/>
      <c r="D1931" s="9" t="n"/>
      <c r="E1931" s="9" t="n"/>
      <c r="F1931" s="8">
        <f>IF(A1931="","",IFERROR(INDEX(Testes!$N$2:$N$500,MATCH(A1931,Testes!$A$2:$A$500,0)),""))</f>
        <v/>
      </c>
      <c r="G1931" s="8">
        <f>IF(F1931="ocorrência","VP",IF(F1931="sem ocorrência","FP",""))</f>
        <v/>
      </c>
      <c r="H1931" s="7" t="n"/>
      <c r="I1931" s="8">
        <f>IF(H1931&lt;&gt;"",H1931,G1931)</f>
        <v/>
      </c>
    </row>
    <row r="1932">
      <c r="A1932" s="9" t="n"/>
      <c r="B1932" s="9" t="n"/>
      <c r="C1932" s="9" t="n"/>
      <c r="D1932" s="9" t="n"/>
      <c r="E1932" s="9" t="n"/>
      <c r="F1932" s="8">
        <f>IF(A1932="","",IFERROR(INDEX(Testes!$N$2:$N$500,MATCH(A1932,Testes!$A$2:$A$500,0)),""))</f>
        <v/>
      </c>
      <c r="G1932" s="8">
        <f>IF(F1932="ocorrência","VP",IF(F1932="sem ocorrência","FP",""))</f>
        <v/>
      </c>
      <c r="H1932" s="7" t="n"/>
      <c r="I1932" s="8">
        <f>IF(H1932&lt;&gt;"",H1932,G1932)</f>
        <v/>
      </c>
    </row>
    <row r="1933">
      <c r="A1933" s="9" t="n"/>
      <c r="B1933" s="9" t="n"/>
      <c r="C1933" s="9" t="n"/>
      <c r="D1933" s="9" t="n"/>
      <c r="E1933" s="9" t="n"/>
      <c r="F1933" s="8">
        <f>IF(A1933="","",IFERROR(INDEX(Testes!$N$2:$N$500,MATCH(A1933,Testes!$A$2:$A$500,0)),""))</f>
        <v/>
      </c>
      <c r="G1933" s="8">
        <f>IF(F1933="ocorrência","VP",IF(F1933="sem ocorrência","FP",""))</f>
        <v/>
      </c>
      <c r="H1933" s="7" t="n"/>
      <c r="I1933" s="8">
        <f>IF(H1933&lt;&gt;"",H1933,G1933)</f>
        <v/>
      </c>
    </row>
    <row r="1934">
      <c r="A1934" s="9" t="n"/>
      <c r="B1934" s="9" t="n"/>
      <c r="C1934" s="9" t="n"/>
      <c r="D1934" s="9" t="n"/>
      <c r="E1934" s="9" t="n"/>
      <c r="F1934" s="8">
        <f>IF(A1934="","",IFERROR(INDEX(Testes!$N$2:$N$500,MATCH(A1934,Testes!$A$2:$A$500,0)),""))</f>
        <v/>
      </c>
      <c r="G1934" s="8">
        <f>IF(F1934="ocorrência","VP",IF(F1934="sem ocorrência","FP",""))</f>
        <v/>
      </c>
      <c r="H1934" s="7" t="n"/>
      <c r="I1934" s="8">
        <f>IF(H1934&lt;&gt;"",H1934,G1934)</f>
        <v/>
      </c>
    </row>
    <row r="1935">
      <c r="A1935" s="9" t="n"/>
      <c r="B1935" s="9" t="n"/>
      <c r="C1935" s="9" t="n"/>
      <c r="D1935" s="9" t="n"/>
      <c r="E1935" s="9" t="n"/>
      <c r="F1935" s="8">
        <f>IF(A1935="","",IFERROR(INDEX(Testes!$N$2:$N$500,MATCH(A1935,Testes!$A$2:$A$500,0)),""))</f>
        <v/>
      </c>
      <c r="G1935" s="8">
        <f>IF(F1935="ocorrência","VP",IF(F1935="sem ocorrência","FP",""))</f>
        <v/>
      </c>
      <c r="H1935" s="7" t="n"/>
      <c r="I1935" s="8">
        <f>IF(H1935&lt;&gt;"",H1935,G1935)</f>
        <v/>
      </c>
    </row>
    <row r="1936">
      <c r="A1936" s="9" t="n"/>
      <c r="B1936" s="9" t="n"/>
      <c r="C1936" s="9" t="n"/>
      <c r="D1936" s="9" t="n"/>
      <c r="E1936" s="9" t="n"/>
      <c r="F1936" s="8">
        <f>IF(A1936="","",IFERROR(INDEX(Testes!$N$2:$N$500,MATCH(A1936,Testes!$A$2:$A$500,0)),""))</f>
        <v/>
      </c>
      <c r="G1936" s="8">
        <f>IF(F1936="ocorrência","VP",IF(F1936="sem ocorrência","FP",""))</f>
        <v/>
      </c>
      <c r="H1936" s="7" t="n"/>
      <c r="I1936" s="8">
        <f>IF(H1936&lt;&gt;"",H1936,G1936)</f>
        <v/>
      </c>
    </row>
    <row r="1937">
      <c r="A1937" s="9" t="n"/>
      <c r="B1937" s="9" t="n"/>
      <c r="C1937" s="9" t="n"/>
      <c r="D1937" s="9" t="n"/>
      <c r="E1937" s="9" t="n"/>
      <c r="F1937" s="8">
        <f>IF(A1937="","",IFERROR(INDEX(Testes!$N$2:$N$500,MATCH(A1937,Testes!$A$2:$A$500,0)),""))</f>
        <v/>
      </c>
      <c r="G1937" s="8">
        <f>IF(F1937="ocorrência","VP",IF(F1937="sem ocorrência","FP",""))</f>
        <v/>
      </c>
      <c r="H1937" s="7" t="n"/>
      <c r="I1937" s="8">
        <f>IF(H1937&lt;&gt;"",H1937,G1937)</f>
        <v/>
      </c>
    </row>
    <row r="1938">
      <c r="A1938" s="9" t="n"/>
      <c r="B1938" s="9" t="n"/>
      <c r="C1938" s="9" t="n"/>
      <c r="D1938" s="9" t="n"/>
      <c r="E1938" s="9" t="n"/>
      <c r="F1938" s="8">
        <f>IF(A1938="","",IFERROR(INDEX(Testes!$N$2:$N$500,MATCH(A1938,Testes!$A$2:$A$500,0)),""))</f>
        <v/>
      </c>
      <c r="G1938" s="8">
        <f>IF(F1938="ocorrência","VP",IF(F1938="sem ocorrência","FP",""))</f>
        <v/>
      </c>
      <c r="H1938" s="7" t="n"/>
      <c r="I1938" s="8">
        <f>IF(H1938&lt;&gt;"",H1938,G1938)</f>
        <v/>
      </c>
    </row>
    <row r="1939">
      <c r="A1939" s="9" t="n"/>
      <c r="B1939" s="9" t="n"/>
      <c r="C1939" s="9" t="n"/>
      <c r="D1939" s="9" t="n"/>
      <c r="E1939" s="9" t="n"/>
      <c r="F1939" s="8">
        <f>IF(A1939="","",IFERROR(INDEX(Testes!$N$2:$N$500,MATCH(A1939,Testes!$A$2:$A$500,0)),""))</f>
        <v/>
      </c>
      <c r="G1939" s="8">
        <f>IF(F1939="ocorrência","VP",IF(F1939="sem ocorrência","FP",""))</f>
        <v/>
      </c>
      <c r="H1939" s="7" t="n"/>
      <c r="I1939" s="8">
        <f>IF(H1939&lt;&gt;"",H1939,G1939)</f>
        <v/>
      </c>
    </row>
    <row r="1940">
      <c r="A1940" s="9" t="n"/>
      <c r="B1940" s="9" t="n"/>
      <c r="C1940" s="9" t="n"/>
      <c r="D1940" s="9" t="n"/>
      <c r="E1940" s="9" t="n"/>
      <c r="F1940" s="8">
        <f>IF(A1940="","",IFERROR(INDEX(Testes!$N$2:$N$500,MATCH(A1940,Testes!$A$2:$A$500,0)),""))</f>
        <v/>
      </c>
      <c r="G1940" s="8">
        <f>IF(F1940="ocorrência","VP",IF(F1940="sem ocorrência","FP",""))</f>
        <v/>
      </c>
      <c r="H1940" s="7" t="n"/>
      <c r="I1940" s="8">
        <f>IF(H1940&lt;&gt;"",H1940,G1940)</f>
        <v/>
      </c>
    </row>
    <row r="1941">
      <c r="A1941" s="9" t="n"/>
      <c r="B1941" s="9" t="n"/>
      <c r="C1941" s="9" t="n"/>
      <c r="D1941" s="9" t="n"/>
      <c r="E1941" s="9" t="n"/>
      <c r="F1941" s="8">
        <f>IF(A1941="","",IFERROR(INDEX(Testes!$N$2:$N$500,MATCH(A1941,Testes!$A$2:$A$500,0)),""))</f>
        <v/>
      </c>
      <c r="G1941" s="8">
        <f>IF(F1941="ocorrência","VP",IF(F1941="sem ocorrência","FP",""))</f>
        <v/>
      </c>
      <c r="H1941" s="7" t="n"/>
      <c r="I1941" s="8">
        <f>IF(H1941&lt;&gt;"",H1941,G1941)</f>
        <v/>
      </c>
    </row>
    <row r="1942">
      <c r="A1942" s="9" t="n"/>
      <c r="B1942" s="9" t="n"/>
      <c r="C1942" s="9" t="n"/>
      <c r="D1942" s="9" t="n"/>
      <c r="E1942" s="9" t="n"/>
      <c r="F1942" s="8">
        <f>IF(A1942="","",IFERROR(INDEX(Testes!$N$2:$N$500,MATCH(A1942,Testes!$A$2:$A$500,0)),""))</f>
        <v/>
      </c>
      <c r="G1942" s="8">
        <f>IF(F1942="ocorrência","VP",IF(F1942="sem ocorrência","FP",""))</f>
        <v/>
      </c>
      <c r="H1942" s="7" t="n"/>
      <c r="I1942" s="8">
        <f>IF(H1942&lt;&gt;"",H1942,G1942)</f>
        <v/>
      </c>
    </row>
    <row r="1943">
      <c r="A1943" s="9" t="n"/>
      <c r="B1943" s="9" t="n"/>
      <c r="C1943" s="9" t="n"/>
      <c r="D1943" s="9" t="n"/>
      <c r="E1943" s="9" t="n"/>
      <c r="F1943" s="8">
        <f>IF(A1943="","",IFERROR(INDEX(Testes!$N$2:$N$500,MATCH(A1943,Testes!$A$2:$A$500,0)),""))</f>
        <v/>
      </c>
      <c r="G1943" s="8">
        <f>IF(F1943="ocorrência","VP",IF(F1943="sem ocorrência","FP",""))</f>
        <v/>
      </c>
      <c r="H1943" s="7" t="n"/>
      <c r="I1943" s="8">
        <f>IF(H1943&lt;&gt;"",H1943,G1943)</f>
        <v/>
      </c>
    </row>
    <row r="1944">
      <c r="A1944" s="9" t="n"/>
      <c r="B1944" s="9" t="n"/>
      <c r="C1944" s="9" t="n"/>
      <c r="D1944" s="9" t="n"/>
      <c r="E1944" s="9" t="n"/>
      <c r="F1944" s="8">
        <f>IF(A1944="","",IFERROR(INDEX(Testes!$N$2:$N$500,MATCH(A1944,Testes!$A$2:$A$500,0)),""))</f>
        <v/>
      </c>
      <c r="G1944" s="8">
        <f>IF(F1944="ocorrência","VP",IF(F1944="sem ocorrência","FP",""))</f>
        <v/>
      </c>
      <c r="H1944" s="7" t="n"/>
      <c r="I1944" s="8">
        <f>IF(H1944&lt;&gt;"",H1944,G1944)</f>
        <v/>
      </c>
    </row>
    <row r="1945">
      <c r="A1945" s="9" t="n"/>
      <c r="B1945" s="9" t="n"/>
      <c r="C1945" s="9" t="n"/>
      <c r="D1945" s="9" t="n"/>
      <c r="E1945" s="9" t="n"/>
      <c r="F1945" s="8">
        <f>IF(A1945="","",IFERROR(INDEX(Testes!$N$2:$N$500,MATCH(A1945,Testes!$A$2:$A$500,0)),""))</f>
        <v/>
      </c>
      <c r="G1945" s="8">
        <f>IF(F1945="ocorrência","VP",IF(F1945="sem ocorrência","FP",""))</f>
        <v/>
      </c>
      <c r="H1945" s="7" t="n"/>
      <c r="I1945" s="8">
        <f>IF(H1945&lt;&gt;"",H1945,G1945)</f>
        <v/>
      </c>
    </row>
    <row r="1946">
      <c r="A1946" s="9" t="n"/>
      <c r="B1946" s="9" t="n"/>
      <c r="C1946" s="9" t="n"/>
      <c r="D1946" s="9" t="n"/>
      <c r="E1946" s="9" t="n"/>
      <c r="F1946" s="8">
        <f>IF(A1946="","",IFERROR(INDEX(Testes!$N$2:$N$500,MATCH(A1946,Testes!$A$2:$A$500,0)),""))</f>
        <v/>
      </c>
      <c r="G1946" s="8">
        <f>IF(F1946="ocorrência","VP",IF(F1946="sem ocorrência","FP",""))</f>
        <v/>
      </c>
      <c r="H1946" s="7" t="n"/>
      <c r="I1946" s="8">
        <f>IF(H1946&lt;&gt;"",H1946,G1946)</f>
        <v/>
      </c>
    </row>
    <row r="1947">
      <c r="A1947" s="9" t="n"/>
      <c r="B1947" s="9" t="n"/>
      <c r="C1947" s="9" t="n"/>
      <c r="D1947" s="9" t="n"/>
      <c r="E1947" s="9" t="n"/>
      <c r="F1947" s="8">
        <f>IF(A1947="","",IFERROR(INDEX(Testes!$N$2:$N$500,MATCH(A1947,Testes!$A$2:$A$500,0)),""))</f>
        <v/>
      </c>
      <c r="G1947" s="8">
        <f>IF(F1947="ocorrência","VP",IF(F1947="sem ocorrência","FP",""))</f>
        <v/>
      </c>
      <c r="H1947" s="7" t="n"/>
      <c r="I1947" s="8">
        <f>IF(H1947&lt;&gt;"",H1947,G1947)</f>
        <v/>
      </c>
    </row>
    <row r="1948">
      <c r="A1948" s="9" t="n"/>
      <c r="B1948" s="9" t="n"/>
      <c r="C1948" s="9" t="n"/>
      <c r="D1948" s="9" t="n"/>
      <c r="E1948" s="9" t="n"/>
      <c r="F1948" s="8">
        <f>IF(A1948="","",IFERROR(INDEX(Testes!$N$2:$N$500,MATCH(A1948,Testes!$A$2:$A$500,0)),""))</f>
        <v/>
      </c>
      <c r="G1948" s="8">
        <f>IF(F1948="ocorrência","VP",IF(F1948="sem ocorrência","FP",""))</f>
        <v/>
      </c>
      <c r="H1948" s="7" t="n"/>
      <c r="I1948" s="8">
        <f>IF(H1948&lt;&gt;"",H1948,G1948)</f>
        <v/>
      </c>
    </row>
    <row r="1949">
      <c r="A1949" s="9" t="n"/>
      <c r="B1949" s="9" t="n"/>
      <c r="C1949" s="9" t="n"/>
      <c r="D1949" s="9" t="n"/>
      <c r="E1949" s="9" t="n"/>
      <c r="F1949" s="8">
        <f>IF(A1949="","",IFERROR(INDEX(Testes!$N$2:$N$500,MATCH(A1949,Testes!$A$2:$A$500,0)),""))</f>
        <v/>
      </c>
      <c r="G1949" s="8">
        <f>IF(F1949="ocorrência","VP",IF(F1949="sem ocorrência","FP",""))</f>
        <v/>
      </c>
      <c r="H1949" s="7" t="n"/>
      <c r="I1949" s="8">
        <f>IF(H1949&lt;&gt;"",H1949,G1949)</f>
        <v/>
      </c>
    </row>
    <row r="1950">
      <c r="A1950" s="9" t="n"/>
      <c r="B1950" s="9" t="n"/>
      <c r="C1950" s="9" t="n"/>
      <c r="D1950" s="9" t="n"/>
      <c r="E1950" s="9" t="n"/>
      <c r="F1950" s="8">
        <f>IF(A1950="","",IFERROR(INDEX(Testes!$N$2:$N$500,MATCH(A1950,Testes!$A$2:$A$500,0)),""))</f>
        <v/>
      </c>
      <c r="G1950" s="8">
        <f>IF(F1950="ocorrência","VP",IF(F1950="sem ocorrência","FP",""))</f>
        <v/>
      </c>
      <c r="H1950" s="7" t="n"/>
      <c r="I1950" s="8">
        <f>IF(H1950&lt;&gt;"",H1950,G1950)</f>
        <v/>
      </c>
    </row>
    <row r="1951">
      <c r="A1951" s="9" t="n"/>
      <c r="B1951" s="9" t="n"/>
      <c r="C1951" s="9" t="n"/>
      <c r="D1951" s="9" t="n"/>
      <c r="E1951" s="9" t="n"/>
      <c r="F1951" s="8">
        <f>IF(A1951="","",IFERROR(INDEX(Testes!$N$2:$N$500,MATCH(A1951,Testes!$A$2:$A$500,0)),""))</f>
        <v/>
      </c>
      <c r="G1951" s="8">
        <f>IF(F1951="ocorrência","VP",IF(F1951="sem ocorrência","FP",""))</f>
        <v/>
      </c>
      <c r="H1951" s="7" t="n"/>
      <c r="I1951" s="8">
        <f>IF(H1951&lt;&gt;"",H1951,G1951)</f>
        <v/>
      </c>
    </row>
    <row r="1952">
      <c r="A1952" s="9" t="n"/>
      <c r="B1952" s="9" t="n"/>
      <c r="C1952" s="9" t="n"/>
      <c r="D1952" s="9" t="n"/>
      <c r="E1952" s="9" t="n"/>
      <c r="F1952" s="8">
        <f>IF(A1952="","",IFERROR(INDEX(Testes!$N$2:$N$500,MATCH(A1952,Testes!$A$2:$A$500,0)),""))</f>
        <v/>
      </c>
      <c r="G1952" s="8">
        <f>IF(F1952="ocorrência","VP",IF(F1952="sem ocorrência","FP",""))</f>
        <v/>
      </c>
      <c r="H1952" s="7" t="n"/>
      <c r="I1952" s="8">
        <f>IF(H1952&lt;&gt;"",H1952,G1952)</f>
        <v/>
      </c>
    </row>
    <row r="1953">
      <c r="A1953" s="9" t="n"/>
      <c r="B1953" s="9" t="n"/>
      <c r="C1953" s="9" t="n"/>
      <c r="D1953" s="9" t="n"/>
      <c r="E1953" s="9" t="n"/>
      <c r="F1953" s="8">
        <f>IF(A1953="","",IFERROR(INDEX(Testes!$N$2:$N$500,MATCH(A1953,Testes!$A$2:$A$500,0)),""))</f>
        <v/>
      </c>
      <c r="G1953" s="8">
        <f>IF(F1953="ocorrência","VP",IF(F1953="sem ocorrência","FP",""))</f>
        <v/>
      </c>
      <c r="H1953" s="7" t="n"/>
      <c r="I1953" s="8">
        <f>IF(H1953&lt;&gt;"",H1953,G1953)</f>
        <v/>
      </c>
    </row>
    <row r="1954">
      <c r="A1954" s="9" t="n"/>
      <c r="B1954" s="9" t="n"/>
      <c r="C1954" s="9" t="n"/>
      <c r="D1954" s="9" t="n"/>
      <c r="E1954" s="9" t="n"/>
      <c r="F1954" s="8">
        <f>IF(A1954="","",IFERROR(INDEX(Testes!$N$2:$N$500,MATCH(A1954,Testes!$A$2:$A$500,0)),""))</f>
        <v/>
      </c>
      <c r="G1954" s="8">
        <f>IF(F1954="ocorrência","VP",IF(F1954="sem ocorrência","FP",""))</f>
        <v/>
      </c>
      <c r="H1954" s="7" t="n"/>
      <c r="I1954" s="8">
        <f>IF(H1954&lt;&gt;"",H1954,G1954)</f>
        <v/>
      </c>
    </row>
    <row r="1955">
      <c r="A1955" s="9" t="n"/>
      <c r="B1955" s="9" t="n"/>
      <c r="C1955" s="9" t="n"/>
      <c r="D1955" s="9" t="n"/>
      <c r="E1955" s="9" t="n"/>
      <c r="F1955" s="8">
        <f>IF(A1955="","",IFERROR(INDEX(Testes!$N$2:$N$500,MATCH(A1955,Testes!$A$2:$A$500,0)),""))</f>
        <v/>
      </c>
      <c r="G1955" s="8">
        <f>IF(F1955="ocorrência","VP",IF(F1955="sem ocorrência","FP",""))</f>
        <v/>
      </c>
      <c r="H1955" s="7" t="n"/>
      <c r="I1955" s="8">
        <f>IF(H1955&lt;&gt;"",H1955,G1955)</f>
        <v/>
      </c>
    </row>
    <row r="1956">
      <c r="A1956" s="9" t="n"/>
      <c r="B1956" s="9" t="n"/>
      <c r="C1956" s="9" t="n"/>
      <c r="D1956" s="9" t="n"/>
      <c r="E1956" s="9" t="n"/>
      <c r="F1956" s="8">
        <f>IF(A1956="","",IFERROR(INDEX(Testes!$N$2:$N$500,MATCH(A1956,Testes!$A$2:$A$500,0)),""))</f>
        <v/>
      </c>
      <c r="G1956" s="8">
        <f>IF(F1956="ocorrência","VP",IF(F1956="sem ocorrência","FP",""))</f>
        <v/>
      </c>
      <c r="H1956" s="7" t="n"/>
      <c r="I1956" s="8">
        <f>IF(H1956&lt;&gt;"",H1956,G1956)</f>
        <v/>
      </c>
    </row>
    <row r="1957">
      <c r="A1957" s="9" t="n"/>
      <c r="B1957" s="9" t="n"/>
      <c r="C1957" s="9" t="n"/>
      <c r="D1957" s="9" t="n"/>
      <c r="E1957" s="9" t="n"/>
      <c r="F1957" s="8">
        <f>IF(A1957="","",IFERROR(INDEX(Testes!$N$2:$N$500,MATCH(A1957,Testes!$A$2:$A$500,0)),""))</f>
        <v/>
      </c>
      <c r="G1957" s="8">
        <f>IF(F1957="ocorrência","VP",IF(F1957="sem ocorrência","FP",""))</f>
        <v/>
      </c>
      <c r="H1957" s="7" t="n"/>
      <c r="I1957" s="8">
        <f>IF(H1957&lt;&gt;"",H1957,G1957)</f>
        <v/>
      </c>
    </row>
    <row r="1958">
      <c r="A1958" s="9" t="n"/>
      <c r="B1958" s="9" t="n"/>
      <c r="C1958" s="9" t="n"/>
      <c r="D1958" s="9" t="n"/>
      <c r="E1958" s="9" t="n"/>
      <c r="F1958" s="8">
        <f>IF(A1958="","",IFERROR(INDEX(Testes!$N$2:$N$500,MATCH(A1958,Testes!$A$2:$A$500,0)),""))</f>
        <v/>
      </c>
      <c r="G1958" s="8">
        <f>IF(F1958="ocorrência","VP",IF(F1958="sem ocorrência","FP",""))</f>
        <v/>
      </c>
      <c r="H1958" s="7" t="n"/>
      <c r="I1958" s="8">
        <f>IF(H1958&lt;&gt;"",H1958,G1958)</f>
        <v/>
      </c>
    </row>
    <row r="1959">
      <c r="A1959" s="9" t="n"/>
      <c r="B1959" s="9" t="n"/>
      <c r="C1959" s="9" t="n"/>
      <c r="D1959" s="9" t="n"/>
      <c r="E1959" s="9" t="n"/>
      <c r="F1959" s="8">
        <f>IF(A1959="","",IFERROR(INDEX(Testes!$N$2:$N$500,MATCH(A1959,Testes!$A$2:$A$500,0)),""))</f>
        <v/>
      </c>
      <c r="G1959" s="8">
        <f>IF(F1959="ocorrência","VP",IF(F1959="sem ocorrência","FP",""))</f>
        <v/>
      </c>
      <c r="H1959" s="7" t="n"/>
      <c r="I1959" s="8">
        <f>IF(H1959&lt;&gt;"",H1959,G1959)</f>
        <v/>
      </c>
    </row>
    <row r="1960">
      <c r="A1960" s="9" t="n"/>
      <c r="B1960" s="9" t="n"/>
      <c r="C1960" s="9" t="n"/>
      <c r="D1960" s="9" t="n"/>
      <c r="E1960" s="9" t="n"/>
      <c r="F1960" s="8">
        <f>IF(A1960="","",IFERROR(INDEX(Testes!$N$2:$N$500,MATCH(A1960,Testes!$A$2:$A$500,0)),""))</f>
        <v/>
      </c>
      <c r="G1960" s="8">
        <f>IF(F1960="ocorrência","VP",IF(F1960="sem ocorrência","FP",""))</f>
        <v/>
      </c>
      <c r="H1960" s="7" t="n"/>
      <c r="I1960" s="8">
        <f>IF(H1960&lt;&gt;"",H1960,G1960)</f>
        <v/>
      </c>
    </row>
    <row r="1961">
      <c r="A1961" s="9" t="n"/>
      <c r="B1961" s="9" t="n"/>
      <c r="C1961" s="9" t="n"/>
      <c r="D1961" s="9" t="n"/>
      <c r="E1961" s="9" t="n"/>
      <c r="F1961" s="8">
        <f>IF(A1961="","",IFERROR(INDEX(Testes!$N$2:$N$500,MATCH(A1961,Testes!$A$2:$A$500,0)),""))</f>
        <v/>
      </c>
      <c r="G1961" s="8">
        <f>IF(F1961="ocorrência","VP",IF(F1961="sem ocorrência","FP",""))</f>
        <v/>
      </c>
      <c r="H1961" s="7" t="n"/>
      <c r="I1961" s="8">
        <f>IF(H1961&lt;&gt;"",H1961,G1961)</f>
        <v/>
      </c>
    </row>
    <row r="1962">
      <c r="A1962" s="9" t="n"/>
      <c r="B1962" s="9" t="n"/>
      <c r="C1962" s="9" t="n"/>
      <c r="D1962" s="9" t="n"/>
      <c r="E1962" s="9" t="n"/>
      <c r="F1962" s="8">
        <f>IF(A1962="","",IFERROR(INDEX(Testes!$N$2:$N$500,MATCH(A1962,Testes!$A$2:$A$500,0)),""))</f>
        <v/>
      </c>
      <c r="G1962" s="8">
        <f>IF(F1962="ocorrência","VP",IF(F1962="sem ocorrência","FP",""))</f>
        <v/>
      </c>
      <c r="H1962" s="7" t="n"/>
      <c r="I1962" s="8">
        <f>IF(H1962&lt;&gt;"",H1962,G1962)</f>
        <v/>
      </c>
    </row>
    <row r="1963">
      <c r="A1963" s="9" t="n"/>
      <c r="B1963" s="9" t="n"/>
      <c r="C1963" s="9" t="n"/>
      <c r="D1963" s="9" t="n"/>
      <c r="E1963" s="9" t="n"/>
      <c r="F1963" s="8">
        <f>IF(A1963="","",IFERROR(INDEX(Testes!$N$2:$N$500,MATCH(A1963,Testes!$A$2:$A$500,0)),""))</f>
        <v/>
      </c>
      <c r="G1963" s="8">
        <f>IF(F1963="ocorrência","VP",IF(F1963="sem ocorrência","FP",""))</f>
        <v/>
      </c>
      <c r="H1963" s="7" t="n"/>
      <c r="I1963" s="8">
        <f>IF(H1963&lt;&gt;"",H1963,G1963)</f>
        <v/>
      </c>
    </row>
    <row r="1964">
      <c r="A1964" s="9" t="n"/>
      <c r="B1964" s="9" t="n"/>
      <c r="C1964" s="9" t="n"/>
      <c r="D1964" s="9" t="n"/>
      <c r="E1964" s="9" t="n"/>
      <c r="F1964" s="8">
        <f>IF(A1964="","",IFERROR(INDEX(Testes!$N$2:$N$500,MATCH(A1964,Testes!$A$2:$A$500,0)),""))</f>
        <v/>
      </c>
      <c r="G1964" s="8">
        <f>IF(F1964="ocorrência","VP",IF(F1964="sem ocorrência","FP",""))</f>
        <v/>
      </c>
      <c r="H1964" s="7" t="n"/>
      <c r="I1964" s="8">
        <f>IF(H1964&lt;&gt;"",H1964,G1964)</f>
        <v/>
      </c>
    </row>
    <row r="1965">
      <c r="A1965" s="9" t="n"/>
      <c r="B1965" s="9" t="n"/>
      <c r="C1965" s="9" t="n"/>
      <c r="D1965" s="9" t="n"/>
      <c r="E1965" s="9" t="n"/>
      <c r="F1965" s="8">
        <f>IF(A1965="","",IFERROR(INDEX(Testes!$N$2:$N$500,MATCH(A1965,Testes!$A$2:$A$500,0)),""))</f>
        <v/>
      </c>
      <c r="G1965" s="8">
        <f>IF(F1965="ocorrência","VP",IF(F1965="sem ocorrência","FP",""))</f>
        <v/>
      </c>
      <c r="H1965" s="7" t="n"/>
      <c r="I1965" s="8">
        <f>IF(H1965&lt;&gt;"",H1965,G1965)</f>
        <v/>
      </c>
    </row>
    <row r="1966">
      <c r="A1966" s="9" t="n"/>
      <c r="B1966" s="9" t="n"/>
      <c r="C1966" s="9" t="n"/>
      <c r="D1966" s="9" t="n"/>
      <c r="E1966" s="9" t="n"/>
      <c r="F1966" s="8">
        <f>IF(A1966="","",IFERROR(INDEX(Testes!$N$2:$N$500,MATCH(A1966,Testes!$A$2:$A$500,0)),""))</f>
        <v/>
      </c>
      <c r="G1966" s="8">
        <f>IF(F1966="ocorrência","VP",IF(F1966="sem ocorrência","FP",""))</f>
        <v/>
      </c>
      <c r="H1966" s="7" t="n"/>
      <c r="I1966" s="8">
        <f>IF(H1966&lt;&gt;"",H1966,G1966)</f>
        <v/>
      </c>
    </row>
    <row r="1967">
      <c r="A1967" s="9" t="n"/>
      <c r="B1967" s="9" t="n"/>
      <c r="C1967" s="9" t="n"/>
      <c r="D1967" s="9" t="n"/>
      <c r="E1967" s="9" t="n"/>
      <c r="F1967" s="8">
        <f>IF(A1967="","",IFERROR(INDEX(Testes!$N$2:$N$500,MATCH(A1967,Testes!$A$2:$A$500,0)),""))</f>
        <v/>
      </c>
      <c r="G1967" s="8">
        <f>IF(F1967="ocorrência","VP",IF(F1967="sem ocorrência","FP",""))</f>
        <v/>
      </c>
      <c r="H1967" s="7" t="n"/>
      <c r="I1967" s="8">
        <f>IF(H1967&lt;&gt;"",H1967,G1967)</f>
        <v/>
      </c>
    </row>
    <row r="1968">
      <c r="A1968" s="9" t="n"/>
      <c r="B1968" s="9" t="n"/>
      <c r="C1968" s="9" t="n"/>
      <c r="D1968" s="9" t="n"/>
      <c r="E1968" s="9" t="n"/>
      <c r="F1968" s="8">
        <f>IF(A1968="","",IFERROR(INDEX(Testes!$N$2:$N$500,MATCH(A1968,Testes!$A$2:$A$500,0)),""))</f>
        <v/>
      </c>
      <c r="G1968" s="8">
        <f>IF(F1968="ocorrência","VP",IF(F1968="sem ocorrência","FP",""))</f>
        <v/>
      </c>
      <c r="H1968" s="7" t="n"/>
      <c r="I1968" s="8">
        <f>IF(H1968&lt;&gt;"",H1968,G1968)</f>
        <v/>
      </c>
    </row>
    <row r="1969">
      <c r="A1969" s="9" t="n"/>
      <c r="B1969" s="9" t="n"/>
      <c r="C1969" s="9" t="n"/>
      <c r="D1969" s="9" t="n"/>
      <c r="E1969" s="9" t="n"/>
      <c r="F1969" s="8">
        <f>IF(A1969="","",IFERROR(INDEX(Testes!$N$2:$N$500,MATCH(A1969,Testes!$A$2:$A$500,0)),""))</f>
        <v/>
      </c>
      <c r="G1969" s="8">
        <f>IF(F1969="ocorrência","VP",IF(F1969="sem ocorrência","FP",""))</f>
        <v/>
      </c>
      <c r="H1969" s="7" t="n"/>
      <c r="I1969" s="8">
        <f>IF(H1969&lt;&gt;"",H1969,G1969)</f>
        <v/>
      </c>
    </row>
    <row r="1970">
      <c r="A1970" s="9" t="n"/>
      <c r="B1970" s="9" t="n"/>
      <c r="C1970" s="9" t="n"/>
      <c r="D1970" s="9" t="n"/>
      <c r="E1970" s="9" t="n"/>
      <c r="F1970" s="8">
        <f>IF(A1970="","",IFERROR(INDEX(Testes!$N$2:$N$500,MATCH(A1970,Testes!$A$2:$A$500,0)),""))</f>
        <v/>
      </c>
      <c r="G1970" s="8">
        <f>IF(F1970="ocorrência","VP",IF(F1970="sem ocorrência","FP",""))</f>
        <v/>
      </c>
      <c r="H1970" s="7" t="n"/>
      <c r="I1970" s="8">
        <f>IF(H1970&lt;&gt;"",H1970,G1970)</f>
        <v/>
      </c>
    </row>
    <row r="1971">
      <c r="A1971" s="9" t="n"/>
      <c r="B1971" s="9" t="n"/>
      <c r="C1971" s="9" t="n"/>
      <c r="D1971" s="9" t="n"/>
      <c r="E1971" s="9" t="n"/>
      <c r="F1971" s="8">
        <f>IF(A1971="","",IFERROR(INDEX(Testes!$N$2:$N$500,MATCH(A1971,Testes!$A$2:$A$500,0)),""))</f>
        <v/>
      </c>
      <c r="G1971" s="8">
        <f>IF(F1971="ocorrência","VP",IF(F1971="sem ocorrência","FP",""))</f>
        <v/>
      </c>
      <c r="H1971" s="7" t="n"/>
      <c r="I1971" s="8">
        <f>IF(H1971&lt;&gt;"",H1971,G1971)</f>
        <v/>
      </c>
    </row>
    <row r="1972">
      <c r="A1972" s="9" t="n"/>
      <c r="B1972" s="9" t="n"/>
      <c r="C1972" s="9" t="n"/>
      <c r="D1972" s="9" t="n"/>
      <c r="E1972" s="9" t="n"/>
      <c r="F1972" s="8">
        <f>IF(A1972="","",IFERROR(INDEX(Testes!$N$2:$N$500,MATCH(A1972,Testes!$A$2:$A$500,0)),""))</f>
        <v/>
      </c>
      <c r="G1972" s="8">
        <f>IF(F1972="ocorrência","VP",IF(F1972="sem ocorrência","FP",""))</f>
        <v/>
      </c>
      <c r="H1972" s="7" t="n"/>
      <c r="I1972" s="8">
        <f>IF(H1972&lt;&gt;"",H1972,G1972)</f>
        <v/>
      </c>
    </row>
    <row r="1973">
      <c r="A1973" s="9" t="n"/>
      <c r="B1973" s="9" t="n"/>
      <c r="C1973" s="9" t="n"/>
      <c r="D1973" s="9" t="n"/>
      <c r="E1973" s="9" t="n"/>
      <c r="F1973" s="8">
        <f>IF(A1973="","",IFERROR(INDEX(Testes!$N$2:$N$500,MATCH(A1973,Testes!$A$2:$A$500,0)),""))</f>
        <v/>
      </c>
      <c r="G1973" s="8">
        <f>IF(F1973="ocorrência","VP",IF(F1973="sem ocorrência","FP",""))</f>
        <v/>
      </c>
      <c r="H1973" s="7" t="n"/>
      <c r="I1973" s="8">
        <f>IF(H1973&lt;&gt;"",H1973,G1973)</f>
        <v/>
      </c>
    </row>
    <row r="1974">
      <c r="A1974" s="9" t="n"/>
      <c r="B1974" s="9" t="n"/>
      <c r="C1974" s="9" t="n"/>
      <c r="D1974" s="9" t="n"/>
      <c r="E1974" s="9" t="n"/>
      <c r="F1974" s="8">
        <f>IF(A1974="","",IFERROR(INDEX(Testes!$N$2:$N$500,MATCH(A1974,Testes!$A$2:$A$500,0)),""))</f>
        <v/>
      </c>
      <c r="G1974" s="8">
        <f>IF(F1974="ocorrência","VP",IF(F1974="sem ocorrência","FP",""))</f>
        <v/>
      </c>
      <c r="H1974" s="7" t="n"/>
      <c r="I1974" s="8">
        <f>IF(H1974&lt;&gt;"",H1974,G1974)</f>
        <v/>
      </c>
    </row>
    <row r="1975">
      <c r="A1975" s="9" t="n"/>
      <c r="B1975" s="9" t="n"/>
      <c r="C1975" s="9" t="n"/>
      <c r="D1975" s="9" t="n"/>
      <c r="E1975" s="9" t="n"/>
      <c r="F1975" s="8">
        <f>IF(A1975="","",IFERROR(INDEX(Testes!$N$2:$N$500,MATCH(A1975,Testes!$A$2:$A$500,0)),""))</f>
        <v/>
      </c>
      <c r="G1975" s="8">
        <f>IF(F1975="ocorrência","VP",IF(F1975="sem ocorrência","FP",""))</f>
        <v/>
      </c>
      <c r="H1975" s="7" t="n"/>
      <c r="I1975" s="8">
        <f>IF(H1975&lt;&gt;"",H1975,G1975)</f>
        <v/>
      </c>
    </row>
    <row r="1976">
      <c r="A1976" s="9" t="n"/>
      <c r="B1976" s="9" t="n"/>
      <c r="C1976" s="9" t="n"/>
      <c r="D1976" s="9" t="n"/>
      <c r="E1976" s="9" t="n"/>
      <c r="F1976" s="8">
        <f>IF(A1976="","",IFERROR(INDEX(Testes!$N$2:$N$500,MATCH(A1976,Testes!$A$2:$A$500,0)),""))</f>
        <v/>
      </c>
      <c r="G1976" s="8">
        <f>IF(F1976="ocorrência","VP",IF(F1976="sem ocorrência","FP",""))</f>
        <v/>
      </c>
      <c r="H1976" s="7" t="n"/>
      <c r="I1976" s="8">
        <f>IF(H1976&lt;&gt;"",H1976,G1976)</f>
        <v/>
      </c>
    </row>
    <row r="1977">
      <c r="A1977" s="9" t="n"/>
      <c r="B1977" s="9" t="n"/>
      <c r="C1977" s="9" t="n"/>
      <c r="D1977" s="9" t="n"/>
      <c r="E1977" s="9" t="n"/>
      <c r="F1977" s="8">
        <f>IF(A1977="","",IFERROR(INDEX(Testes!$N$2:$N$500,MATCH(A1977,Testes!$A$2:$A$500,0)),""))</f>
        <v/>
      </c>
      <c r="G1977" s="8">
        <f>IF(F1977="ocorrência","VP",IF(F1977="sem ocorrência","FP",""))</f>
        <v/>
      </c>
      <c r="H1977" s="7" t="n"/>
      <c r="I1977" s="8">
        <f>IF(H1977&lt;&gt;"",H1977,G1977)</f>
        <v/>
      </c>
    </row>
    <row r="1978">
      <c r="A1978" s="9" t="n"/>
      <c r="B1978" s="9" t="n"/>
      <c r="C1978" s="9" t="n"/>
      <c r="D1978" s="9" t="n"/>
      <c r="E1978" s="9" t="n"/>
      <c r="F1978" s="8">
        <f>IF(A1978="","",IFERROR(INDEX(Testes!$N$2:$N$500,MATCH(A1978,Testes!$A$2:$A$500,0)),""))</f>
        <v/>
      </c>
      <c r="G1978" s="8">
        <f>IF(F1978="ocorrência","VP",IF(F1978="sem ocorrência","FP",""))</f>
        <v/>
      </c>
      <c r="H1978" s="7" t="n"/>
      <c r="I1978" s="8">
        <f>IF(H1978&lt;&gt;"",H1978,G1978)</f>
        <v/>
      </c>
    </row>
    <row r="1979">
      <c r="A1979" s="9" t="n"/>
      <c r="B1979" s="9" t="n"/>
      <c r="C1979" s="9" t="n"/>
      <c r="D1979" s="9" t="n"/>
      <c r="E1979" s="9" t="n"/>
      <c r="F1979" s="8">
        <f>IF(A1979="","",IFERROR(INDEX(Testes!$N$2:$N$500,MATCH(A1979,Testes!$A$2:$A$500,0)),""))</f>
        <v/>
      </c>
      <c r="G1979" s="8">
        <f>IF(F1979="ocorrência","VP",IF(F1979="sem ocorrência","FP",""))</f>
        <v/>
      </c>
      <c r="H1979" s="7" t="n"/>
      <c r="I1979" s="8">
        <f>IF(H1979&lt;&gt;"",H1979,G1979)</f>
        <v/>
      </c>
    </row>
    <row r="1980">
      <c r="A1980" s="9" t="n"/>
      <c r="B1980" s="9" t="n"/>
      <c r="C1980" s="9" t="n"/>
      <c r="D1980" s="9" t="n"/>
      <c r="E1980" s="9" t="n"/>
      <c r="F1980" s="8">
        <f>IF(A1980="","",IFERROR(INDEX(Testes!$N$2:$N$500,MATCH(A1980,Testes!$A$2:$A$500,0)),""))</f>
        <v/>
      </c>
      <c r="G1980" s="8">
        <f>IF(F1980="ocorrência","VP",IF(F1980="sem ocorrência","FP",""))</f>
        <v/>
      </c>
      <c r="H1980" s="7" t="n"/>
      <c r="I1980" s="8">
        <f>IF(H1980&lt;&gt;"",H1980,G1980)</f>
        <v/>
      </c>
    </row>
    <row r="1981">
      <c r="A1981" s="9" t="n"/>
      <c r="B1981" s="9" t="n"/>
      <c r="C1981" s="9" t="n"/>
      <c r="D1981" s="9" t="n"/>
      <c r="E1981" s="9" t="n"/>
      <c r="F1981" s="8">
        <f>IF(A1981="","",IFERROR(INDEX(Testes!$N$2:$N$500,MATCH(A1981,Testes!$A$2:$A$500,0)),""))</f>
        <v/>
      </c>
      <c r="G1981" s="8">
        <f>IF(F1981="ocorrência","VP",IF(F1981="sem ocorrência","FP",""))</f>
        <v/>
      </c>
      <c r="H1981" s="7" t="n"/>
      <c r="I1981" s="8">
        <f>IF(H1981&lt;&gt;"",H1981,G1981)</f>
        <v/>
      </c>
    </row>
    <row r="1982">
      <c r="A1982" s="9" t="n"/>
      <c r="B1982" s="9" t="n"/>
      <c r="C1982" s="9" t="n"/>
      <c r="D1982" s="9" t="n"/>
      <c r="E1982" s="9" t="n"/>
      <c r="F1982" s="8">
        <f>IF(A1982="","",IFERROR(INDEX(Testes!$N$2:$N$500,MATCH(A1982,Testes!$A$2:$A$500,0)),""))</f>
        <v/>
      </c>
      <c r="G1982" s="8">
        <f>IF(F1982="ocorrência","VP",IF(F1982="sem ocorrência","FP",""))</f>
        <v/>
      </c>
      <c r="H1982" s="7" t="n"/>
      <c r="I1982" s="8">
        <f>IF(H1982&lt;&gt;"",H1982,G1982)</f>
        <v/>
      </c>
    </row>
    <row r="1983">
      <c r="A1983" s="9" t="n"/>
      <c r="B1983" s="9" t="n"/>
      <c r="C1983" s="9" t="n"/>
      <c r="D1983" s="9" t="n"/>
      <c r="E1983" s="9" t="n"/>
      <c r="F1983" s="8">
        <f>IF(A1983="","",IFERROR(INDEX(Testes!$N$2:$N$500,MATCH(A1983,Testes!$A$2:$A$500,0)),""))</f>
        <v/>
      </c>
      <c r="G1983" s="8">
        <f>IF(F1983="ocorrência","VP",IF(F1983="sem ocorrência","FP",""))</f>
        <v/>
      </c>
      <c r="H1983" s="7" t="n"/>
      <c r="I1983" s="8">
        <f>IF(H1983&lt;&gt;"",H1983,G1983)</f>
        <v/>
      </c>
    </row>
    <row r="1984">
      <c r="A1984" s="9" t="n"/>
      <c r="B1984" s="9" t="n"/>
      <c r="C1984" s="9" t="n"/>
      <c r="D1984" s="9" t="n"/>
      <c r="E1984" s="9" t="n"/>
      <c r="F1984" s="8">
        <f>IF(A1984="","",IFERROR(INDEX(Testes!$N$2:$N$500,MATCH(A1984,Testes!$A$2:$A$500,0)),""))</f>
        <v/>
      </c>
      <c r="G1984" s="8">
        <f>IF(F1984="ocorrência","VP",IF(F1984="sem ocorrência","FP",""))</f>
        <v/>
      </c>
      <c r="H1984" s="7" t="n"/>
      <c r="I1984" s="8">
        <f>IF(H1984&lt;&gt;"",H1984,G1984)</f>
        <v/>
      </c>
    </row>
    <row r="1985">
      <c r="A1985" s="9" t="n"/>
      <c r="B1985" s="9" t="n"/>
      <c r="C1985" s="9" t="n"/>
      <c r="D1985" s="9" t="n"/>
      <c r="E1985" s="9" t="n"/>
      <c r="F1985" s="8">
        <f>IF(A1985="","",IFERROR(INDEX(Testes!$N$2:$N$500,MATCH(A1985,Testes!$A$2:$A$500,0)),""))</f>
        <v/>
      </c>
      <c r="G1985" s="8">
        <f>IF(F1985="ocorrência","VP",IF(F1985="sem ocorrência","FP",""))</f>
        <v/>
      </c>
      <c r="H1985" s="7" t="n"/>
      <c r="I1985" s="8">
        <f>IF(H1985&lt;&gt;"",H1985,G1985)</f>
        <v/>
      </c>
    </row>
    <row r="1986">
      <c r="A1986" s="9" t="n"/>
      <c r="B1986" s="9" t="n"/>
      <c r="C1986" s="9" t="n"/>
      <c r="D1986" s="9" t="n"/>
      <c r="E1986" s="9" t="n"/>
      <c r="F1986" s="8">
        <f>IF(A1986="","",IFERROR(INDEX(Testes!$N$2:$N$500,MATCH(A1986,Testes!$A$2:$A$500,0)),""))</f>
        <v/>
      </c>
      <c r="G1986" s="8">
        <f>IF(F1986="ocorrência","VP",IF(F1986="sem ocorrência","FP",""))</f>
        <v/>
      </c>
      <c r="H1986" s="7" t="n"/>
      <c r="I1986" s="8">
        <f>IF(H1986&lt;&gt;"",H1986,G1986)</f>
        <v/>
      </c>
    </row>
    <row r="1987">
      <c r="A1987" s="9" t="n"/>
      <c r="B1987" s="9" t="n"/>
      <c r="C1987" s="9" t="n"/>
      <c r="D1987" s="9" t="n"/>
      <c r="E1987" s="9" t="n"/>
      <c r="F1987" s="8">
        <f>IF(A1987="","",IFERROR(INDEX(Testes!$N$2:$N$500,MATCH(A1987,Testes!$A$2:$A$500,0)),""))</f>
        <v/>
      </c>
      <c r="G1987" s="8">
        <f>IF(F1987="ocorrência","VP",IF(F1987="sem ocorrência","FP",""))</f>
        <v/>
      </c>
      <c r="H1987" s="7" t="n"/>
      <c r="I1987" s="8">
        <f>IF(H1987&lt;&gt;"",H1987,G1987)</f>
        <v/>
      </c>
    </row>
    <row r="1988">
      <c r="A1988" s="9" t="n"/>
      <c r="B1988" s="9" t="n"/>
      <c r="C1988" s="9" t="n"/>
      <c r="D1988" s="9" t="n"/>
      <c r="E1988" s="9" t="n"/>
      <c r="F1988" s="8">
        <f>IF(A1988="","",IFERROR(INDEX(Testes!$N$2:$N$500,MATCH(A1988,Testes!$A$2:$A$500,0)),""))</f>
        <v/>
      </c>
      <c r="G1988" s="8">
        <f>IF(F1988="ocorrência","VP",IF(F1988="sem ocorrência","FP",""))</f>
        <v/>
      </c>
      <c r="H1988" s="7" t="n"/>
      <c r="I1988" s="8">
        <f>IF(H1988&lt;&gt;"",H1988,G1988)</f>
        <v/>
      </c>
    </row>
    <row r="1989">
      <c r="A1989" s="9" t="n"/>
      <c r="B1989" s="9" t="n"/>
      <c r="C1989" s="9" t="n"/>
      <c r="D1989" s="9" t="n"/>
      <c r="E1989" s="9" t="n"/>
      <c r="F1989" s="8">
        <f>IF(A1989="","",IFERROR(INDEX(Testes!$N$2:$N$500,MATCH(A1989,Testes!$A$2:$A$500,0)),""))</f>
        <v/>
      </c>
      <c r="G1989" s="8">
        <f>IF(F1989="ocorrência","VP",IF(F1989="sem ocorrência","FP",""))</f>
        <v/>
      </c>
      <c r="H1989" s="7" t="n"/>
      <c r="I1989" s="8">
        <f>IF(H1989&lt;&gt;"",H1989,G1989)</f>
        <v/>
      </c>
    </row>
    <row r="1990">
      <c r="A1990" s="9" t="n"/>
      <c r="B1990" s="9" t="n"/>
      <c r="C1990" s="9" t="n"/>
      <c r="D1990" s="9" t="n"/>
      <c r="E1990" s="9" t="n"/>
      <c r="F1990" s="8">
        <f>IF(A1990="","",IFERROR(INDEX(Testes!$N$2:$N$500,MATCH(A1990,Testes!$A$2:$A$500,0)),""))</f>
        <v/>
      </c>
      <c r="G1990" s="8">
        <f>IF(F1990="ocorrência","VP",IF(F1990="sem ocorrência","FP",""))</f>
        <v/>
      </c>
      <c r="H1990" s="7" t="n"/>
      <c r="I1990" s="8">
        <f>IF(H1990&lt;&gt;"",H1990,G1990)</f>
        <v/>
      </c>
    </row>
    <row r="1991">
      <c r="A1991" s="9" t="n"/>
      <c r="B1991" s="9" t="n"/>
      <c r="C1991" s="9" t="n"/>
      <c r="D1991" s="9" t="n"/>
      <c r="E1991" s="9" t="n"/>
      <c r="F1991" s="8">
        <f>IF(A1991="","",IFERROR(INDEX(Testes!$N$2:$N$500,MATCH(A1991,Testes!$A$2:$A$500,0)),""))</f>
        <v/>
      </c>
      <c r="G1991" s="8">
        <f>IF(F1991="ocorrência","VP",IF(F1991="sem ocorrência","FP",""))</f>
        <v/>
      </c>
      <c r="H1991" s="7" t="n"/>
      <c r="I1991" s="8">
        <f>IF(H1991&lt;&gt;"",H1991,G1991)</f>
        <v/>
      </c>
    </row>
    <row r="1992">
      <c r="A1992" s="9" t="n"/>
      <c r="B1992" s="9" t="n"/>
      <c r="C1992" s="9" t="n"/>
      <c r="D1992" s="9" t="n"/>
      <c r="E1992" s="9" t="n"/>
      <c r="F1992" s="8">
        <f>IF(A1992="","",IFERROR(INDEX(Testes!$N$2:$N$500,MATCH(A1992,Testes!$A$2:$A$500,0)),""))</f>
        <v/>
      </c>
      <c r="G1992" s="8">
        <f>IF(F1992="ocorrência","VP",IF(F1992="sem ocorrência","FP",""))</f>
        <v/>
      </c>
      <c r="H1992" s="7" t="n"/>
      <c r="I1992" s="8">
        <f>IF(H1992&lt;&gt;"",H1992,G1992)</f>
        <v/>
      </c>
    </row>
    <row r="1993">
      <c r="A1993" s="9" t="n"/>
      <c r="B1993" s="9" t="n"/>
      <c r="C1993" s="9" t="n"/>
      <c r="D1993" s="9" t="n"/>
      <c r="E1993" s="9" t="n"/>
      <c r="F1993" s="8">
        <f>IF(A1993="","",IFERROR(INDEX(Testes!$N$2:$N$500,MATCH(A1993,Testes!$A$2:$A$500,0)),""))</f>
        <v/>
      </c>
      <c r="G1993" s="8">
        <f>IF(F1993="ocorrência","VP",IF(F1993="sem ocorrência","FP",""))</f>
        <v/>
      </c>
      <c r="H1993" s="7" t="n"/>
      <c r="I1993" s="8">
        <f>IF(H1993&lt;&gt;"",H1993,G1993)</f>
        <v/>
      </c>
    </row>
    <row r="1994">
      <c r="A1994" s="9" t="n"/>
      <c r="B1994" s="9" t="n"/>
      <c r="C1994" s="9" t="n"/>
      <c r="D1994" s="9" t="n"/>
      <c r="E1994" s="9" t="n"/>
      <c r="F1994" s="8">
        <f>IF(A1994="","",IFERROR(INDEX(Testes!$N$2:$N$500,MATCH(A1994,Testes!$A$2:$A$500,0)),""))</f>
        <v/>
      </c>
      <c r="G1994" s="8">
        <f>IF(F1994="ocorrência","VP",IF(F1994="sem ocorrência","FP",""))</f>
        <v/>
      </c>
      <c r="H1994" s="7" t="n"/>
      <c r="I1994" s="8">
        <f>IF(H1994&lt;&gt;"",H1994,G1994)</f>
        <v/>
      </c>
    </row>
    <row r="1995">
      <c r="A1995" s="9" t="n"/>
      <c r="B1995" s="9" t="n"/>
      <c r="C1995" s="9" t="n"/>
      <c r="D1995" s="9" t="n"/>
      <c r="E1995" s="9" t="n"/>
      <c r="F1995" s="8">
        <f>IF(A1995="","",IFERROR(INDEX(Testes!$N$2:$N$500,MATCH(A1995,Testes!$A$2:$A$500,0)),""))</f>
        <v/>
      </c>
      <c r="G1995" s="8">
        <f>IF(F1995="ocorrência","VP",IF(F1995="sem ocorrência","FP",""))</f>
        <v/>
      </c>
      <c r="H1995" s="7" t="n"/>
      <c r="I1995" s="8">
        <f>IF(H1995&lt;&gt;"",H1995,G1995)</f>
        <v/>
      </c>
    </row>
    <row r="1996">
      <c r="A1996" s="9" t="n"/>
      <c r="B1996" s="9" t="n"/>
      <c r="C1996" s="9" t="n"/>
      <c r="D1996" s="9" t="n"/>
      <c r="E1996" s="9" t="n"/>
      <c r="F1996" s="8">
        <f>IF(A1996="","",IFERROR(INDEX(Testes!$N$2:$N$500,MATCH(A1996,Testes!$A$2:$A$500,0)),""))</f>
        <v/>
      </c>
      <c r="G1996" s="8">
        <f>IF(F1996="ocorrência","VP",IF(F1996="sem ocorrência","FP",""))</f>
        <v/>
      </c>
      <c r="H1996" s="7" t="n"/>
      <c r="I1996" s="8">
        <f>IF(H1996&lt;&gt;"",H1996,G1996)</f>
        <v/>
      </c>
    </row>
    <row r="1997">
      <c r="A1997" s="9" t="n"/>
      <c r="B1997" s="9" t="n"/>
      <c r="C1997" s="9" t="n"/>
      <c r="D1997" s="9" t="n"/>
      <c r="E1997" s="9" t="n"/>
      <c r="F1997" s="8">
        <f>IF(A1997="","",IFERROR(INDEX(Testes!$N$2:$N$500,MATCH(A1997,Testes!$A$2:$A$500,0)),""))</f>
        <v/>
      </c>
      <c r="G1997" s="8">
        <f>IF(F1997="ocorrência","VP",IF(F1997="sem ocorrência","FP",""))</f>
        <v/>
      </c>
      <c r="H1997" s="7" t="n"/>
      <c r="I1997" s="8">
        <f>IF(H1997&lt;&gt;"",H1997,G1997)</f>
        <v/>
      </c>
    </row>
    <row r="1998">
      <c r="A1998" s="9" t="n"/>
      <c r="B1998" s="9" t="n"/>
      <c r="C1998" s="9" t="n"/>
      <c r="D1998" s="9" t="n"/>
      <c r="E1998" s="9" t="n"/>
      <c r="F1998" s="8">
        <f>IF(A1998="","",IFERROR(INDEX(Testes!$N$2:$N$500,MATCH(A1998,Testes!$A$2:$A$500,0)),""))</f>
        <v/>
      </c>
      <c r="G1998" s="8">
        <f>IF(F1998="ocorrência","VP",IF(F1998="sem ocorrência","FP",""))</f>
        <v/>
      </c>
      <c r="H1998" s="7" t="n"/>
      <c r="I1998" s="8">
        <f>IF(H1998&lt;&gt;"",H1998,G1998)</f>
        <v/>
      </c>
    </row>
    <row r="1999">
      <c r="A1999" s="9" t="n"/>
      <c r="B1999" s="9" t="n"/>
      <c r="C1999" s="9" t="n"/>
      <c r="D1999" s="9" t="n"/>
      <c r="E1999" s="9" t="n"/>
      <c r="F1999" s="8">
        <f>IF(A1999="","",IFERROR(INDEX(Testes!$N$2:$N$500,MATCH(A1999,Testes!$A$2:$A$500,0)),""))</f>
        <v/>
      </c>
      <c r="G1999" s="8">
        <f>IF(F1999="ocorrência","VP",IF(F1999="sem ocorrência","FP",""))</f>
        <v/>
      </c>
      <c r="H1999" s="7" t="n"/>
      <c r="I1999" s="8">
        <f>IF(H1999&lt;&gt;"",H1999,G1999)</f>
        <v/>
      </c>
    </row>
    <row r="2000">
      <c r="A2000" s="9" t="n"/>
      <c r="B2000" s="9" t="n"/>
      <c r="C2000" s="9" t="n"/>
      <c r="D2000" s="9" t="n"/>
      <c r="E2000" s="9" t="n"/>
      <c r="F2000" s="8">
        <f>IF(A2000="","",IFERROR(INDEX(Testes!$N$2:$N$500,MATCH(A2000,Testes!$A$2:$A$500,0)),""))</f>
        <v/>
      </c>
      <c r="G2000" s="8">
        <f>IF(F2000="ocorrência","VP",IF(F2000="sem ocorrência","FP",""))</f>
        <v/>
      </c>
      <c r="H2000" s="7" t="n"/>
      <c r="I2000" s="8">
        <f>IF(H2000&lt;&gt;"",H2000,G2000)</f>
        <v/>
      </c>
    </row>
  </sheetData>
  <dataValidations count="1">
    <dataValidation sqref="H2:H2000" showDropDown="0" showInputMessage="0" showErrorMessage="0" allowBlank="1" error="Escolha um valor da lista." type="list">
      <formula1>"VP,FP"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  <col width="22" customWidth="1" min="4" max="4"/>
    <col width="22" customWidth="1" min="5" max="5"/>
    <col width="10" customWidth="1" min="6" max="6"/>
    <col width="30" customWidth="1" min="7" max="7"/>
  </cols>
  <sheetData>
    <row r="1">
      <c r="A1" s="4" t="inlineStr">
        <is>
          <t>arquivo</t>
        </is>
      </c>
      <c r="B1" s="4" t="inlineStr">
        <is>
          <t>origem</t>
        </is>
      </c>
      <c r="C1" s="4" t="inlineStr">
        <is>
          <t>link</t>
        </is>
      </c>
      <c r="D1" s="4" t="inlineStr">
        <is>
          <t>licenca</t>
        </is>
      </c>
      <c r="E1" s="4" t="inlineStr">
        <is>
          <t>autorizacao_das_pessoas</t>
        </is>
      </c>
      <c r="F1" s="4" t="inlineStr">
        <is>
          <t>uso</t>
        </is>
      </c>
      <c r="G1" s="4" t="inlineStr">
        <is>
          <t>observacoes</t>
        </is>
      </c>
    </row>
    <row r="2">
      <c r="A2" s="7" t="inlineStr">
        <is>
          <t>testes_campo/teste_sem_mascara.mp4</t>
        </is>
      </c>
      <c r="B2" s="7" t="inlineStr">
        <is>
          <t>webcam</t>
        </is>
      </c>
      <c r="C2" s="7" t="inlineStr"/>
      <c r="D2" s="7" t="inlineStr">
        <is>
          <t>próprio</t>
        </is>
      </c>
      <c r="E2" s="7" t="inlineStr">
        <is>
          <t>sim (o próprio autor)</t>
        </is>
      </c>
      <c r="F2" s="7" t="inlineStr">
        <is>
          <t>teste</t>
        </is>
      </c>
      <c r="G2" s="7" t="inlineStr">
        <is>
          <t>Exemplo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  <row r="150">
      <c r="A150" s="7" t="n"/>
      <c r="B150" s="7" t="n"/>
      <c r="C150" s="7" t="n"/>
      <c r="D150" s="7" t="n"/>
      <c r="E150" s="7" t="n"/>
      <c r="F150" s="7" t="n"/>
      <c r="G150" s="7" t="n"/>
    </row>
    <row r="151">
      <c r="A151" s="7" t="n"/>
      <c r="B151" s="7" t="n"/>
      <c r="C151" s="7" t="n"/>
      <c r="D151" s="7" t="n"/>
      <c r="E151" s="7" t="n"/>
      <c r="F151" s="7" t="n"/>
      <c r="G151" s="7" t="n"/>
    </row>
    <row r="152">
      <c r="A152" s="7" t="n"/>
      <c r="B152" s="7" t="n"/>
      <c r="C152" s="7" t="n"/>
      <c r="D152" s="7" t="n"/>
      <c r="E152" s="7" t="n"/>
      <c r="F152" s="7" t="n"/>
      <c r="G152" s="7" t="n"/>
    </row>
    <row r="153">
      <c r="A153" s="7" t="n"/>
      <c r="B153" s="7" t="n"/>
      <c r="C153" s="7" t="n"/>
      <c r="D153" s="7" t="n"/>
      <c r="E153" s="7" t="n"/>
      <c r="F153" s="7" t="n"/>
      <c r="G153" s="7" t="n"/>
    </row>
    <row r="154">
      <c r="A154" s="7" t="n"/>
      <c r="B154" s="7" t="n"/>
      <c r="C154" s="7" t="n"/>
      <c r="D154" s="7" t="n"/>
      <c r="E154" s="7" t="n"/>
      <c r="F154" s="7" t="n"/>
      <c r="G154" s="7" t="n"/>
    </row>
    <row r="155">
      <c r="A155" s="7" t="n"/>
      <c r="B155" s="7" t="n"/>
      <c r="C155" s="7" t="n"/>
      <c r="D155" s="7" t="n"/>
      <c r="E155" s="7" t="n"/>
      <c r="F155" s="7" t="n"/>
      <c r="G155" s="7" t="n"/>
    </row>
    <row r="156">
      <c r="A156" s="7" t="n"/>
      <c r="B156" s="7" t="n"/>
      <c r="C156" s="7" t="n"/>
      <c r="D156" s="7" t="n"/>
      <c r="E156" s="7" t="n"/>
      <c r="F156" s="7" t="n"/>
      <c r="G156" s="7" t="n"/>
    </row>
    <row r="157">
      <c r="A157" s="7" t="n"/>
      <c r="B157" s="7" t="n"/>
      <c r="C157" s="7" t="n"/>
      <c r="D157" s="7" t="n"/>
      <c r="E157" s="7" t="n"/>
      <c r="F157" s="7" t="n"/>
      <c r="G157" s="7" t="n"/>
    </row>
    <row r="158">
      <c r="A158" s="7" t="n"/>
      <c r="B158" s="7" t="n"/>
      <c r="C158" s="7" t="n"/>
      <c r="D158" s="7" t="n"/>
      <c r="E158" s="7" t="n"/>
      <c r="F158" s="7" t="n"/>
      <c r="G158" s="7" t="n"/>
    </row>
    <row r="159">
      <c r="A159" s="7" t="n"/>
      <c r="B159" s="7" t="n"/>
      <c r="C159" s="7" t="n"/>
      <c r="D159" s="7" t="n"/>
      <c r="E159" s="7" t="n"/>
      <c r="F159" s="7" t="n"/>
      <c r="G159" s="7" t="n"/>
    </row>
    <row r="160">
      <c r="A160" s="7" t="n"/>
      <c r="B160" s="7" t="n"/>
      <c r="C160" s="7" t="n"/>
      <c r="D160" s="7" t="n"/>
      <c r="E160" s="7" t="n"/>
      <c r="F160" s="7" t="n"/>
      <c r="G160" s="7" t="n"/>
    </row>
    <row r="161">
      <c r="A161" s="7" t="n"/>
      <c r="B161" s="7" t="n"/>
      <c r="C161" s="7" t="n"/>
      <c r="D161" s="7" t="n"/>
      <c r="E161" s="7" t="n"/>
      <c r="F161" s="7" t="n"/>
      <c r="G161" s="7" t="n"/>
    </row>
    <row r="162">
      <c r="A162" s="7" t="n"/>
      <c r="B162" s="7" t="n"/>
      <c r="C162" s="7" t="n"/>
      <c r="D162" s="7" t="n"/>
      <c r="E162" s="7" t="n"/>
      <c r="F162" s="7" t="n"/>
      <c r="G162" s="7" t="n"/>
    </row>
    <row r="163">
      <c r="A163" s="7" t="n"/>
      <c r="B163" s="7" t="n"/>
      <c r="C163" s="7" t="n"/>
      <c r="D163" s="7" t="n"/>
      <c r="E163" s="7" t="n"/>
      <c r="F163" s="7" t="n"/>
      <c r="G163" s="7" t="n"/>
    </row>
    <row r="164">
      <c r="A164" s="7" t="n"/>
      <c r="B164" s="7" t="n"/>
      <c r="C164" s="7" t="n"/>
      <c r="D164" s="7" t="n"/>
      <c r="E164" s="7" t="n"/>
      <c r="F164" s="7" t="n"/>
      <c r="G164" s="7" t="n"/>
    </row>
    <row r="165">
      <c r="A165" s="7" t="n"/>
      <c r="B165" s="7" t="n"/>
      <c r="C165" s="7" t="n"/>
      <c r="D165" s="7" t="n"/>
      <c r="E165" s="7" t="n"/>
      <c r="F165" s="7" t="n"/>
      <c r="G165" s="7" t="n"/>
    </row>
    <row r="166">
      <c r="A166" s="7" t="n"/>
      <c r="B166" s="7" t="n"/>
      <c r="C166" s="7" t="n"/>
      <c r="D166" s="7" t="n"/>
      <c r="E166" s="7" t="n"/>
      <c r="F166" s="7" t="n"/>
      <c r="G166" s="7" t="n"/>
    </row>
    <row r="167">
      <c r="A167" s="7" t="n"/>
      <c r="B167" s="7" t="n"/>
      <c r="C167" s="7" t="n"/>
      <c r="D167" s="7" t="n"/>
      <c r="E167" s="7" t="n"/>
      <c r="F167" s="7" t="n"/>
      <c r="G167" s="7" t="n"/>
    </row>
    <row r="168">
      <c r="A168" s="7" t="n"/>
      <c r="B168" s="7" t="n"/>
      <c r="C168" s="7" t="n"/>
      <c r="D168" s="7" t="n"/>
      <c r="E168" s="7" t="n"/>
      <c r="F168" s="7" t="n"/>
      <c r="G168" s="7" t="n"/>
    </row>
    <row r="169">
      <c r="A169" s="7" t="n"/>
      <c r="B169" s="7" t="n"/>
      <c r="C169" s="7" t="n"/>
      <c r="D169" s="7" t="n"/>
      <c r="E169" s="7" t="n"/>
      <c r="F169" s="7" t="n"/>
      <c r="G169" s="7" t="n"/>
    </row>
    <row r="170">
      <c r="A170" s="7" t="n"/>
      <c r="B170" s="7" t="n"/>
      <c r="C170" s="7" t="n"/>
      <c r="D170" s="7" t="n"/>
      <c r="E170" s="7" t="n"/>
      <c r="F170" s="7" t="n"/>
      <c r="G170" s="7" t="n"/>
    </row>
    <row r="171">
      <c r="A171" s="7" t="n"/>
      <c r="B171" s="7" t="n"/>
      <c r="C171" s="7" t="n"/>
      <c r="D171" s="7" t="n"/>
      <c r="E171" s="7" t="n"/>
      <c r="F171" s="7" t="n"/>
      <c r="G171" s="7" t="n"/>
    </row>
    <row r="172">
      <c r="A172" s="7" t="n"/>
      <c r="B172" s="7" t="n"/>
      <c r="C172" s="7" t="n"/>
      <c r="D172" s="7" t="n"/>
      <c r="E172" s="7" t="n"/>
      <c r="F172" s="7" t="n"/>
      <c r="G172" s="7" t="n"/>
    </row>
    <row r="173">
      <c r="A173" s="7" t="n"/>
      <c r="B173" s="7" t="n"/>
      <c r="C173" s="7" t="n"/>
      <c r="D173" s="7" t="n"/>
      <c r="E173" s="7" t="n"/>
      <c r="F173" s="7" t="n"/>
      <c r="G173" s="7" t="n"/>
    </row>
    <row r="174">
      <c r="A174" s="7" t="n"/>
      <c r="B174" s="7" t="n"/>
      <c r="C174" s="7" t="n"/>
      <c r="D174" s="7" t="n"/>
      <c r="E174" s="7" t="n"/>
      <c r="F174" s="7" t="n"/>
      <c r="G174" s="7" t="n"/>
    </row>
    <row r="175">
      <c r="A175" s="7" t="n"/>
      <c r="B175" s="7" t="n"/>
      <c r="C175" s="7" t="n"/>
      <c r="D175" s="7" t="n"/>
      <c r="E175" s="7" t="n"/>
      <c r="F175" s="7" t="n"/>
      <c r="G175" s="7" t="n"/>
    </row>
    <row r="176">
      <c r="A176" s="7" t="n"/>
      <c r="B176" s="7" t="n"/>
      <c r="C176" s="7" t="n"/>
      <c r="D176" s="7" t="n"/>
      <c r="E176" s="7" t="n"/>
      <c r="F176" s="7" t="n"/>
      <c r="G176" s="7" t="n"/>
    </row>
    <row r="177">
      <c r="A177" s="7" t="n"/>
      <c r="B177" s="7" t="n"/>
      <c r="C177" s="7" t="n"/>
      <c r="D177" s="7" t="n"/>
      <c r="E177" s="7" t="n"/>
      <c r="F177" s="7" t="n"/>
      <c r="G177" s="7" t="n"/>
    </row>
    <row r="178">
      <c r="A178" s="7" t="n"/>
      <c r="B178" s="7" t="n"/>
      <c r="C178" s="7" t="n"/>
      <c r="D178" s="7" t="n"/>
      <c r="E178" s="7" t="n"/>
      <c r="F178" s="7" t="n"/>
      <c r="G178" s="7" t="n"/>
    </row>
    <row r="179">
      <c r="A179" s="7" t="n"/>
      <c r="B179" s="7" t="n"/>
      <c r="C179" s="7" t="n"/>
      <c r="D179" s="7" t="n"/>
      <c r="E179" s="7" t="n"/>
      <c r="F179" s="7" t="n"/>
      <c r="G179" s="7" t="n"/>
    </row>
    <row r="180">
      <c r="A180" s="7" t="n"/>
      <c r="B180" s="7" t="n"/>
      <c r="C180" s="7" t="n"/>
      <c r="D180" s="7" t="n"/>
      <c r="E180" s="7" t="n"/>
      <c r="F180" s="7" t="n"/>
      <c r="G180" s="7" t="n"/>
    </row>
    <row r="181">
      <c r="A181" s="7" t="n"/>
      <c r="B181" s="7" t="n"/>
      <c r="C181" s="7" t="n"/>
      <c r="D181" s="7" t="n"/>
      <c r="E181" s="7" t="n"/>
      <c r="F181" s="7" t="n"/>
      <c r="G181" s="7" t="n"/>
    </row>
    <row r="182">
      <c r="A182" s="7" t="n"/>
      <c r="B182" s="7" t="n"/>
      <c r="C182" s="7" t="n"/>
      <c r="D182" s="7" t="n"/>
      <c r="E182" s="7" t="n"/>
      <c r="F182" s="7" t="n"/>
      <c r="G182" s="7" t="n"/>
    </row>
    <row r="183">
      <c r="A183" s="7" t="n"/>
      <c r="B183" s="7" t="n"/>
      <c r="C183" s="7" t="n"/>
      <c r="D183" s="7" t="n"/>
      <c r="E183" s="7" t="n"/>
      <c r="F183" s="7" t="n"/>
      <c r="G183" s="7" t="n"/>
    </row>
    <row r="184">
      <c r="A184" s="7" t="n"/>
      <c r="B184" s="7" t="n"/>
      <c r="C184" s="7" t="n"/>
      <c r="D184" s="7" t="n"/>
      <c r="E184" s="7" t="n"/>
      <c r="F184" s="7" t="n"/>
      <c r="G184" s="7" t="n"/>
    </row>
    <row r="185">
      <c r="A185" s="7" t="n"/>
      <c r="B185" s="7" t="n"/>
      <c r="C185" s="7" t="n"/>
      <c r="D185" s="7" t="n"/>
      <c r="E185" s="7" t="n"/>
      <c r="F185" s="7" t="n"/>
      <c r="G185" s="7" t="n"/>
    </row>
    <row r="186">
      <c r="A186" s="7" t="n"/>
      <c r="B186" s="7" t="n"/>
      <c r="C186" s="7" t="n"/>
      <c r="D186" s="7" t="n"/>
      <c r="E186" s="7" t="n"/>
      <c r="F186" s="7" t="n"/>
      <c r="G186" s="7" t="n"/>
    </row>
    <row r="187">
      <c r="A187" s="7" t="n"/>
      <c r="B187" s="7" t="n"/>
      <c r="C187" s="7" t="n"/>
      <c r="D187" s="7" t="n"/>
      <c r="E187" s="7" t="n"/>
      <c r="F187" s="7" t="n"/>
      <c r="G187" s="7" t="n"/>
    </row>
    <row r="188">
      <c r="A188" s="7" t="n"/>
      <c r="B188" s="7" t="n"/>
      <c r="C188" s="7" t="n"/>
      <c r="D188" s="7" t="n"/>
      <c r="E188" s="7" t="n"/>
      <c r="F188" s="7" t="n"/>
      <c r="G188" s="7" t="n"/>
    </row>
    <row r="189">
      <c r="A189" s="7" t="n"/>
      <c r="B189" s="7" t="n"/>
      <c r="C189" s="7" t="n"/>
      <c r="D189" s="7" t="n"/>
      <c r="E189" s="7" t="n"/>
      <c r="F189" s="7" t="n"/>
      <c r="G189" s="7" t="n"/>
    </row>
    <row r="190">
      <c r="A190" s="7" t="n"/>
      <c r="B190" s="7" t="n"/>
      <c r="C190" s="7" t="n"/>
      <c r="D190" s="7" t="n"/>
      <c r="E190" s="7" t="n"/>
      <c r="F190" s="7" t="n"/>
      <c r="G190" s="7" t="n"/>
    </row>
    <row r="191">
      <c r="A191" s="7" t="n"/>
      <c r="B191" s="7" t="n"/>
      <c r="C191" s="7" t="n"/>
      <c r="D191" s="7" t="n"/>
      <c r="E191" s="7" t="n"/>
      <c r="F191" s="7" t="n"/>
      <c r="G191" s="7" t="n"/>
    </row>
    <row r="192">
      <c r="A192" s="7" t="n"/>
      <c r="B192" s="7" t="n"/>
      <c r="C192" s="7" t="n"/>
      <c r="D192" s="7" t="n"/>
      <c r="E192" s="7" t="n"/>
      <c r="F192" s="7" t="n"/>
      <c r="G192" s="7" t="n"/>
    </row>
    <row r="193">
      <c r="A193" s="7" t="n"/>
      <c r="B193" s="7" t="n"/>
      <c r="C193" s="7" t="n"/>
      <c r="D193" s="7" t="n"/>
      <c r="E193" s="7" t="n"/>
      <c r="F193" s="7" t="n"/>
      <c r="G193" s="7" t="n"/>
    </row>
    <row r="194">
      <c r="A194" s="7" t="n"/>
      <c r="B194" s="7" t="n"/>
      <c r="C194" s="7" t="n"/>
      <c r="D194" s="7" t="n"/>
      <c r="E194" s="7" t="n"/>
      <c r="F194" s="7" t="n"/>
      <c r="G194" s="7" t="n"/>
    </row>
    <row r="195">
      <c r="A195" s="7" t="n"/>
      <c r="B195" s="7" t="n"/>
      <c r="C195" s="7" t="n"/>
      <c r="D195" s="7" t="n"/>
      <c r="E195" s="7" t="n"/>
      <c r="F195" s="7" t="n"/>
      <c r="G195" s="7" t="n"/>
    </row>
    <row r="196">
      <c r="A196" s="7" t="n"/>
      <c r="B196" s="7" t="n"/>
      <c r="C196" s="7" t="n"/>
      <c r="D196" s="7" t="n"/>
      <c r="E196" s="7" t="n"/>
      <c r="F196" s="7" t="n"/>
      <c r="G196" s="7" t="n"/>
    </row>
    <row r="197">
      <c r="A197" s="7" t="n"/>
      <c r="B197" s="7" t="n"/>
      <c r="C197" s="7" t="n"/>
      <c r="D197" s="7" t="n"/>
      <c r="E197" s="7" t="n"/>
      <c r="F197" s="7" t="n"/>
      <c r="G197" s="7" t="n"/>
    </row>
    <row r="198">
      <c r="A198" s="7" t="n"/>
      <c r="B198" s="7" t="n"/>
      <c r="C198" s="7" t="n"/>
      <c r="D198" s="7" t="n"/>
      <c r="E198" s="7" t="n"/>
      <c r="F198" s="7" t="n"/>
      <c r="G198" s="7" t="n"/>
    </row>
    <row r="199">
      <c r="A199" s="7" t="n"/>
      <c r="B199" s="7" t="n"/>
      <c r="C199" s="7" t="n"/>
      <c r="D199" s="7" t="n"/>
      <c r="E199" s="7" t="n"/>
      <c r="F199" s="7" t="n"/>
      <c r="G199" s="7" t="n"/>
    </row>
    <row r="200">
      <c r="A200" s="7" t="n"/>
      <c r="B200" s="7" t="n"/>
      <c r="C200" s="7" t="n"/>
      <c r="D200" s="7" t="n"/>
      <c r="E200" s="7" t="n"/>
      <c r="F200" s="7" t="n"/>
      <c r="G200" s="7" t="n"/>
    </row>
  </sheetData>
  <dataValidations count="2">
    <dataValidation sqref="B2:B200" showDropDown="0" showInputMessage="0" showErrorMessage="0" allowBlank="1" error="Escolha um valor da lista." type="list">
      <formula1>"webcam,celular,internet,laboratorio,marcopolo"</formula1>
    </dataValidation>
    <dataValidation sqref="F2:F200" showDropDown="0" showInputMessage="0" showErrorMessage="0" allowBlank="1" error="Escolha um valor da lista." type="list">
      <formula1>"teste,treino"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8" customWidth="1" min="4" max="4"/>
    <col width="60" customWidth="1" min="5" max="5"/>
  </cols>
  <sheetData>
    <row r="1">
      <c r="A1" s="12" t="inlineStr">
        <is>
          <t>Métricas dos testes de campo – comparação com as METAS DE VALIDAÇÃO</t>
        </is>
      </c>
    </row>
    <row r="3">
      <c r="A3" s="4" t="inlineStr">
        <is>
          <t>Métrica</t>
        </is>
      </c>
      <c r="B3" s="4" t="inlineStr">
        <is>
          <t>Valor</t>
        </is>
      </c>
      <c r="C3" s="4" t="inlineStr">
        <is>
          <t>Meta</t>
        </is>
      </c>
      <c r="D3" s="4" t="inlineStr">
        <is>
          <t>Situação</t>
        </is>
      </c>
      <c r="E3" s="4" t="inlineStr">
        <is>
          <t>Como é calculada</t>
        </is>
      </c>
    </row>
    <row r="4">
      <c r="A4" s="5" t="inlineStr">
        <is>
          <t>Testes avaliados (com resultado OK ou FALHA)</t>
        </is>
      </c>
      <c r="B4" s="13">
        <f>COUNTIF(Testes!$V$2:$V$500,"OK")+COUNTIF(Testes!$V$2:$V$500,"FALHA")</f>
        <v/>
      </c>
      <c r="C4" s="13" t="n"/>
      <c r="D4" s="5" t="n"/>
      <c r="E4" s="5" t="inlineStr">
        <is>
          <t>Linhas da aba Testes já processadas pelo script (sem contar 'misto').</t>
        </is>
      </c>
    </row>
    <row r="5">
      <c r="A5" s="5" t="inlineStr">
        <is>
          <t>Recall da ausência de máscara (testes em que devia haver ocorrência e houve)</t>
        </is>
      </c>
      <c r="B5" s="14">
        <f>IFERROR(COUNTIFS(Testes!$N$2:$N$500,"ocorrência",Testes!$V$2:$V$500,"OK")/COUNTIFS(Testes!$N$2:$N$500,"ocorrência",Testes!$U$2:$U$500,"&lt;&gt;"),"")</f>
        <v/>
      </c>
      <c r="C5" s="14" t="n">
        <v>0.7</v>
      </c>
      <c r="D5" s="5">
        <f>IF(B5="","sem dados",IF(B5&gt;=C5,"atingida","abaixo da meta"))</f>
        <v/>
      </c>
      <c r="E5" s="5" t="inlineStr">
        <is>
          <t>Testes 'ocorrência' com resultado OK ÷ testes 'ocorrência' avaliados.</t>
        </is>
      </c>
    </row>
    <row r="6">
      <c r="A6" s="5" t="inlineStr">
        <is>
          <t>Falsos positivos (ocorrências classificadas como FP)</t>
        </is>
      </c>
      <c r="B6" s="14">
        <f>IFERROR(COUNTIF('Ocorrências'!$I$2:$I$2000,"FP")/(COUNTIF('Ocorrências'!$I$2:$I$2000,"FP")+COUNTIF('Ocorrências'!$I$2:$I$2000,"VP")),"")</f>
        <v/>
      </c>
      <c r="C6" s="14" t="n">
        <v>0.3</v>
      </c>
      <c r="D6" s="5">
        <f>IF(B6="","sem dados",IF(B6&lt;=C6,"atingida","abaixo da meta"))</f>
        <v/>
      </c>
      <c r="E6" s="5" t="inlineStr">
        <is>
          <t>FP ÷ (VP + FP) na aba Ocorrências (classificação final: revisão manual ou automática).</t>
        </is>
      </c>
    </row>
    <row r="7">
      <c r="A7" s="5" t="inlineStr">
        <is>
          <t>Testes sem ocorrência esperada que tiveram alarme falso</t>
        </is>
      </c>
      <c r="B7" s="14">
        <f>IFERROR(COUNTIFS(Testes!$N$2:$N$500,"sem ocorrência",Testes!$V$2:$V$500,"FALHA")/COUNTIFS(Testes!$N$2:$N$500,"sem ocorrência",Testes!$U$2:$U$500,"&lt;&gt;"),"")</f>
        <v/>
      </c>
      <c r="C7" s="14" t="n"/>
      <c r="D7" s="5" t="n"/>
      <c r="E7" s="5" t="inlineStr">
        <is>
          <t>Testes 'sem ocorrência' com FALHA ÷ testes 'sem ocorrência' avaliados (informativo).</t>
        </is>
      </c>
    </row>
    <row r="8">
      <c r="A8" s="5" t="inlineStr">
        <is>
          <t>FPS mínimo (processamento completo, imgsz 640)</t>
        </is>
      </c>
      <c r="B8" s="15">
        <f>IF(COUNT(Testes!$P$2:$P$500)=0,"",MIN(Testes!$P$2:$P$500))</f>
        <v/>
      </c>
      <c r="C8" s="15" t="n">
        <v>5</v>
      </c>
      <c r="D8" s="5">
        <f>IF(B8="","sem dados",IF(B8&gt;=C8,"atingida","abaixo da meta"))</f>
        <v/>
      </c>
      <c r="E8" s="5" t="inlineStr">
        <is>
          <t>Menor FPS entre os testes (RNF01).</t>
        </is>
      </c>
    </row>
    <row r="9">
      <c r="A9" s="5" t="inlineStr">
        <is>
          <t>FPS médio</t>
        </is>
      </c>
      <c r="B9" s="15">
        <f>IF(COUNT(Testes!$P$2:$P$500)=0,"",AVERAGE(Testes!$P$2:$P$500))</f>
        <v/>
      </c>
      <c r="C9" s="15" t="n"/>
      <c r="D9" s="5" t="n"/>
      <c r="E9" s="5" t="inlineStr">
        <is>
          <t>Média dos testes.</t>
        </is>
      </c>
    </row>
    <row r="10">
      <c r="A10" s="5" t="inlineStr">
        <is>
          <t>% frames NÃO CONFORME nos testes em que devia haver ocorrência</t>
        </is>
      </c>
      <c r="B10" s="14">
        <f>IFERROR(AVERAGEIFS(Testes!$R$2:$R$500,Testes!$N$2:$N$500,"ocorrência",Testes!$U$2:$U$500,"&lt;&gt;"),"")</f>
        <v/>
      </c>
      <c r="C10" s="14" t="n"/>
      <c r="D10" s="5" t="n"/>
      <c r="E10" s="5" t="inlineStr">
        <is>
          <t>Média de pct_nao_conforme (quanto do tempo a falta foi reconhecida).</t>
        </is>
      </c>
    </row>
    <row r="11">
      <c r="A11" s="5" t="inlineStr">
        <is>
          <t>% frames CONFORME ("OK" falso) nos testes em que devia haver ocorrência</t>
        </is>
      </c>
      <c r="B11" s="14">
        <f>IFERROR(AVERAGEIFS(Testes!$Q$2:$Q$500,Testes!$N$2:$N$500,"ocorrência",Testes!$U$2:$U$500,"&lt;&gt;"),"")</f>
        <v/>
      </c>
      <c r="C11" s="14" t="n"/>
      <c r="D11" s="5" t="n"/>
      <c r="E11" s="5" t="inlineStr">
        <is>
          <t>Média de pct_conforme nos testes sem máscara / máscara levantada.</t>
        </is>
      </c>
    </row>
    <row r="12">
      <c r="A12" s="5" t="inlineStr">
        <is>
          <t>% frames CONFORME nos testes com máscara abaixada</t>
        </is>
      </c>
      <c r="B12" s="14">
        <f>IFERROR(AVERAGEIFS(Testes!$Q$2:$Q$500,Testes!$F$2:$F$500,"mascara_abaixada",Testes!$U$2:$U$500,"&lt;&gt;"),"")</f>
        <v/>
      </c>
      <c r="C12" s="14" t="n"/>
      <c r="D12" s="5" t="n"/>
      <c r="E12" s="5" t="inlineStr">
        <is>
          <t>Quanto do tempo a máscara correta foi reconhecida.</t>
        </is>
      </c>
    </row>
    <row r="13">
      <c r="A13" s="5" t="inlineStr">
        <is>
          <t>Frames ignorados pelo arco (total)</t>
        </is>
      </c>
      <c r="B13" s="13">
        <f>SUM(Testes!$T$2:$T$500)</f>
        <v/>
      </c>
      <c r="C13" s="13" t="n"/>
      <c r="D13" s="5" t="n"/>
      <c r="E13" s="5" t="inlineStr">
        <is>
          <t>Soma da coluna ignorados_arco.</t>
        </is>
      </c>
    </row>
    <row r="14">
      <c r="A14" s="16" t="inlineStr">
        <is>
          <t>Metas: prompt do projeto (METAS DE VALIDAÇÃO, métricas práticas dos testes de campo).</t>
        </is>
      </c>
    </row>
    <row r="16">
      <c r="A16" s="17" t="inlineStr">
        <is>
          <t>Por condição (recall = testes 'ocorrência' com OK ÷ testes 'ocorrência' avaliados)</t>
        </is>
      </c>
    </row>
    <row r="17">
      <c r="A17" s="18" t="inlineStr">
        <is>
          <t>Condição</t>
        </is>
      </c>
      <c r="B17" s="18" t="inlineStr">
        <is>
          <t>Testes avaliados</t>
        </is>
      </c>
      <c r="C17" s="18" t="inlineStr">
        <is>
          <t>Recall</t>
        </is>
      </c>
      <c r="D17" s="18" t="inlineStr">
        <is>
          <t>Alarmes falsos</t>
        </is>
      </c>
      <c r="E17" s="18" t="inlineStr"/>
    </row>
    <row r="18">
      <c r="A18" s="8" t="inlineStr">
        <is>
          <t>distância até 2 m</t>
        </is>
      </c>
      <c r="B18" s="8">
        <f>COUNTIFS(Testes!$H$2:$H$500,"&lt;=2",Testes!$U$2:$U$500,"&lt;&gt;")</f>
        <v/>
      </c>
      <c r="C18" s="19">
        <f>IFERROR(COUNTIFS(Testes!$H$2:$H$500,"&lt;=2",Testes!$N$2:$N$500,"ocorrência",Testes!$V$2:$V$500,"OK")/COUNTIFS(Testes!$H$2:$H$500,"&lt;=2",Testes!$N$2:$N$500,"ocorrência",Testes!$U$2:$U$500,"&lt;&gt;"),"")</f>
        <v/>
      </c>
      <c r="D18" s="8">
        <f>COUNTIFS(Testes!$H$2:$H$500,"&lt;=2",Testes!$N$2:$N$500,"sem ocorrência",Testes!$V$2:$V$500,"FALHA")</f>
        <v/>
      </c>
    </row>
    <row r="19">
      <c r="A19" s="20" t="inlineStr">
        <is>
          <t>distância de 2 a 4 m</t>
        </is>
      </c>
      <c r="B19" s="20">
        <f>COUNTIFS(Testes!$H$2:$H$500,"&gt;2",Testes!$H$2:$H$500,"&lt;=4",Testes!$U$2:$U$500,"&lt;&gt;")</f>
        <v/>
      </c>
      <c r="C19" s="21">
        <f>IFERROR(COUNTIFS(Testes!$H$2:$H$500,"&gt;2",Testes!$H$2:$H$500,"&lt;=4",Testes!$N$2:$N$500,"ocorrência",Testes!$V$2:$V$500,"OK")/COUNTIFS(Testes!$H$2:$H$500,"&gt;2",Testes!$H$2:$H$500,"&lt;=4",Testes!$N$2:$N$500,"ocorrência",Testes!$U$2:$U$500,"&lt;&gt;"),"")</f>
        <v/>
      </c>
      <c r="D19" s="20">
        <f>COUNTIFS(Testes!$H$2:$H$500,"&gt;2",Testes!$H$2:$H$500,"&lt;=4",Testes!$N$2:$N$500,"sem ocorrência",Testes!$V$2:$V$500,"FALHA")</f>
        <v/>
      </c>
    </row>
    <row r="20">
      <c r="A20" s="8" t="inlineStr">
        <is>
          <t>distância acima de 4 m</t>
        </is>
      </c>
      <c r="B20" s="8">
        <f>COUNTIFS(Testes!$H$2:$H$500,"&gt;4",Testes!$U$2:$U$500,"&lt;&gt;")</f>
        <v/>
      </c>
      <c r="C20" s="19">
        <f>IFERROR(COUNTIFS(Testes!$H$2:$H$500,"&gt;4",Testes!$N$2:$N$500,"ocorrência",Testes!$V$2:$V$500,"OK")/COUNTIFS(Testes!$H$2:$H$500,"&gt;4",Testes!$N$2:$N$500,"ocorrência",Testes!$U$2:$U$500,"&lt;&gt;"),"")</f>
        <v/>
      </c>
      <c r="D20" s="8">
        <f>COUNTIFS(Testes!$H$2:$H$500,"&gt;4",Testes!$N$2:$N$500,"sem ocorrência",Testes!$V$2:$V$500,"FALHA")</f>
        <v/>
      </c>
    </row>
    <row r="21">
      <c r="A21" s="20" t="inlineStr">
        <is>
          <t>ângulo: frente</t>
        </is>
      </c>
      <c r="B21" s="20">
        <f>COUNTIFS(Testes!$G$2:$G$500,"frente",Testes!$U$2:$U$500,"&lt;&gt;")</f>
        <v/>
      </c>
      <c r="C21" s="21">
        <f>IFERROR(COUNTIFS(Testes!$G$2:$G$500,"frente",Testes!$N$2:$N$500,"ocorrência",Testes!$V$2:$V$500,"OK")/COUNTIFS(Testes!$G$2:$G$500,"frente",Testes!$N$2:$N$500,"ocorrência",Testes!$U$2:$U$500,"&lt;&gt;"),"")</f>
        <v/>
      </c>
      <c r="D21" s="20">
        <f>COUNTIFS(Testes!$G$2:$G$500,"frente",Testes!$N$2:$N$500,"sem ocorrência",Testes!$V$2:$V$500,"FALHA")</f>
        <v/>
      </c>
    </row>
    <row r="22">
      <c r="A22" s="8" t="inlineStr">
        <is>
          <t>ângulo: perfil</t>
        </is>
      </c>
      <c r="B22" s="8">
        <f>COUNTIFS(Testes!$G$2:$G$500,"perfil",Testes!$U$2:$U$500,"&lt;&gt;")</f>
        <v/>
      </c>
      <c r="C22" s="19">
        <f>IFERROR(COUNTIFS(Testes!$G$2:$G$500,"perfil",Testes!$N$2:$N$500,"ocorrência",Testes!$V$2:$V$500,"OK")/COUNTIFS(Testes!$G$2:$G$500,"perfil",Testes!$N$2:$N$500,"ocorrência",Testes!$U$2:$U$500,"&lt;&gt;"),"")</f>
        <v/>
      </c>
      <c r="D22" s="8">
        <f>COUNTIFS(Testes!$G$2:$G$500,"perfil",Testes!$N$2:$N$500,"sem ocorrência",Testes!$V$2:$V$500,"FALHA")</f>
        <v/>
      </c>
    </row>
    <row r="23">
      <c r="A23" s="20" t="inlineStr">
        <is>
          <t>ângulo: costas</t>
        </is>
      </c>
      <c r="B23" s="20">
        <f>COUNTIFS(Testes!$G$2:$G$500,"costas",Testes!$U$2:$U$500,"&lt;&gt;")</f>
        <v/>
      </c>
      <c r="C23" s="21">
        <f>IFERROR(COUNTIFS(Testes!$G$2:$G$500,"costas",Testes!$N$2:$N$500,"ocorrência",Testes!$V$2:$V$500,"OK")/COUNTIFS(Testes!$G$2:$G$500,"costas",Testes!$N$2:$N$500,"ocorrência",Testes!$U$2:$U$500,"&lt;&gt;"),"")</f>
        <v/>
      </c>
      <c r="D23" s="20">
        <f>COUNTIFS(Testes!$G$2:$G$500,"costas",Testes!$N$2:$N$500,"sem ocorrência",Testes!$V$2:$V$500,"FALHA")</f>
        <v/>
      </c>
    </row>
    <row r="24">
      <c r="A24" s="8" t="inlineStr">
        <is>
          <t>ângulo: varia</t>
        </is>
      </c>
      <c r="B24" s="8">
        <f>COUNTIFS(Testes!$G$2:$G$500,"varia",Testes!$U$2:$U$500,"&lt;&gt;")</f>
        <v/>
      </c>
      <c r="C24" s="19">
        <f>IFERROR(COUNTIFS(Testes!$G$2:$G$500,"varia",Testes!$N$2:$N$500,"ocorrência",Testes!$V$2:$V$500,"OK")/COUNTIFS(Testes!$G$2:$G$500,"varia",Testes!$N$2:$N$500,"ocorrência",Testes!$U$2:$U$500,"&lt;&gt;"),"")</f>
        <v/>
      </c>
      <c r="D24" s="8">
        <f>COUNTIFS(Testes!$G$2:$G$500,"varia",Testes!$N$2:$N$500,"sem ocorrência",Testes!$V$2:$V$500,"FALHA")</f>
        <v/>
      </c>
    </row>
    <row r="25">
      <c r="A25" s="20" t="inlineStr">
        <is>
          <t>arco apagado</t>
        </is>
      </c>
      <c r="B25" s="20">
        <f>COUNTIFS(Testes!$I$2:$I$500,"apagado",Testes!$U$2:$U$500,"&lt;&gt;")</f>
        <v/>
      </c>
      <c r="C25" s="21">
        <f>IFERROR(COUNTIFS(Testes!$I$2:$I$500,"apagado",Testes!$N$2:$N$500,"ocorrência",Testes!$V$2:$V$500,"OK")/COUNTIFS(Testes!$I$2:$I$500,"apagado",Testes!$N$2:$N$500,"ocorrência",Testes!$U$2:$U$500,"&lt;&gt;"),"")</f>
        <v/>
      </c>
      <c r="D25" s="20">
        <f>COUNTIFS(Testes!$I$2:$I$500,"apagado",Testes!$N$2:$N$500,"sem ocorrência",Testes!$V$2:$V$500,"FALHA")</f>
        <v/>
      </c>
    </row>
    <row r="26">
      <c r="A26" s="8" t="inlineStr">
        <is>
          <t>arco aceso</t>
        </is>
      </c>
      <c r="B26" s="8">
        <f>COUNTIFS(Testes!$I$2:$I$500,"aceso",Testes!$U$2:$U$500,"&lt;&gt;")</f>
        <v/>
      </c>
      <c r="C26" s="19">
        <f>IFERROR(COUNTIFS(Testes!$I$2:$I$500,"aceso",Testes!$N$2:$N$500,"ocorrência",Testes!$V$2:$V$500,"OK")/COUNTIFS(Testes!$I$2:$I$500,"aceso",Testes!$N$2:$N$500,"ocorrência",Testes!$U$2:$U$500,"&lt;&gt;"),"")</f>
        <v/>
      </c>
      <c r="D26" s="8">
        <f>COUNTIFS(Testes!$I$2:$I$500,"aceso",Testes!$N$2:$N$500,"sem ocorrência",Testes!$V$2:$V$500,"FALHA")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2026-10-13T15:41:45Z</dcterms:created>
  <dcterms:modified xsi:type="dcterms:W3CDTF">2026-10-13T15:41:47Z</dcterms:modified>
</cp:coreProperties>
</file>